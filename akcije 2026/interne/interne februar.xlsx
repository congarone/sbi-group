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6\marketing\akcije\interne\"/>
    </mc:Choice>
  </mc:AlternateContent>
  <xr:revisionPtr revIDLastSave="0" documentId="13_ncr:1_{57CC91BD-756C-4E02-9F07-867F19EAFE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J17" i="1" s="1"/>
</calcChain>
</file>

<file path=xl/sharedStrings.xml><?xml version="1.0" encoding="utf-8"?>
<sst xmlns="http://schemas.openxmlformats.org/spreadsheetml/2006/main" count="45" uniqueCount="28">
  <si>
    <t>Pasta Penne mezzane 500gr Riscossa</t>
  </si>
  <si>
    <t>0.62</t>
  </si>
  <si>
    <t>0.79</t>
  </si>
  <si>
    <t>Pasta Penne zitoni 500gr Riscossa</t>
  </si>
  <si>
    <t>Pasta Capellini 500gr Riscossa</t>
  </si>
  <si>
    <t>Pasta Bucatini 500gr Riscossa</t>
  </si>
  <si>
    <t>Pasta Fettucine nidi 500gr Riscossa</t>
  </si>
  <si>
    <t>Pasta Capelli di angelo 500gr Riscossa</t>
  </si>
  <si>
    <t>Napolitanke sa kremom alve Happy SOLA 140gr FLIS</t>
  </si>
  <si>
    <t>Proteinski puding cokolada 35g Active life</t>
  </si>
  <si>
    <t>Proteinski puding vanila 35g Active life</t>
  </si>
  <si>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</si>
  <si>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</si>
  <si>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</si>
  <si>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</si>
  <si>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</si>
  <si>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</si>
  <si>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</si>
  <si>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</si>
  <si>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</si>
  <si>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</si>
  <si>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</si>
  <si>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Ovsena kasa ljesnik 65gr My Life</t>
  </si>
  <si>
    <t>Ovsena kasa sumsko voce 65gr My Life</t>
  </si>
  <si>
    <t>01.02.-28.02</t>
  </si>
  <si>
    <t>Tursija 1400g Deleco</t>
  </si>
  <si>
    <t xml:space="preserve">Paprika crvena fileti 720ml CAPSI FOOD </t>
  </si>
  <si>
    <t>01.02.-28.03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</si>
</sst>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" borderId="0" applyNumberFormat="0" applyBorder="0" applyAlignment="0" applyProtection="0"/>
  </cellStyleXfs>
  <cellXfs count="21">
    <xf numFmtId="0" fontId="0" fillId="0" borderId="0" xfId="0"/>
    <xf numFmtId="1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2" fontId="3" fillId="0" borderId="1" xfId="0" applyNumberFormat="1" applyFont="1" applyBorder="1"/>
    <xf numFmtId="9" fontId="3" fillId="0" borderId="1" xfId="0" applyNumberFormat="1" applyFont="1" applyBorder="1"/>
    <xf numFmtId="2" fontId="2" fillId="2" borderId="1" xfId="1" applyNumberFormat="1" applyFill="1" applyBorder="1" applyAlignment="1">
      <alignment horizontal="right"/>
    </xf>
    <xf numFmtId="0" fontId="3" fillId="0" borderId="1" xfId="0" applyFont="1" applyBorder="1"/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right"/>
    </xf>
    <xf numFmtId="9" fontId="2" fillId="2" borderId="1" xfId="1" applyNumberFormat="1" applyFill="1" applyBorder="1" applyAlignment="1">
      <alignment horizontal="right"/>
    </xf>
    <xf numFmtId="0" fontId="1" fillId="0" borderId="1" xfId="0" applyFont="1" applyBorder="1"/>
    <xf numFmtId="1" fontId="5" fillId="0" borderId="1" xfId="0" applyNumberFormat="1" applyFont="1" applyBorder="1"/>
    <xf numFmtId="2" fontId="1" fillId="0" borderId="1" xfId="0" applyNumberFormat="1" applyFont="1" applyBorder="1"/>
    <xf numFmtId="1" fontId="3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Fill="1" applyBorder="1"/>
    <xf numFmtId="0" fontId="3" fillId="0" borderId="1" xfId="0" applyFont="1" applyBorder="1"/>
    <xf numFmtId="2" fontId="3" fillId="0" borderId="1" xfId="0" applyNumberFormat="1" applyFont="1" applyBorder="1"/>
    <xf numFmtId="9" fontId="3" fillId="0" borderId="1" xfId="0" applyNumberFormat="1" applyFont="1" applyBorder="1"/>
    <xf numFmtId="0" fontId="3" fillId="2" borderId="1" xfId="0" applyFont="1" applyFill="1" applyBorder="1"/>
    <xf numFmtId="1" fontId="3" fillId="0" borderId="1" xfId="0" applyNumberFormat="1" applyFont="1" applyBorder="1" applyAlignment="1">
      <alignment horizontal="right"/>
    </xf>
  </cellXfs>
  <cellStyles count="8">
    <cellStyle name="Bad 2" xfId="7" xr:uid="{28528C12-A9A2-493B-AF46-957381D5E722}"/>
    <cellStyle name="Normal" xfId="0" builtinId="0"/>
    <cellStyle name="Normal 2" xfId="2" xr:uid="{E17F9296-97EF-470F-99E1-6B3CA06AFF6A}"/>
    <cellStyle name="Normal 2 2" xfId="1" xr:uid="{8C6706A6-AF4B-4B13-A5B6-422624D12B92}"/>
    <cellStyle name="Normal 2 3" xfId="3" xr:uid="{7F0E6EC7-9DF9-42A2-AEE2-61EEC76727C9}"/>
    <cellStyle name="Normal 2 4" xfId="4" xr:uid="{835B4FC0-CDB5-49A3-88AC-5AD966A9CD49}"/>
    <cellStyle name="Normal 2 5" xfId="5" xr:uid="{E9BA6E0D-C5A2-4199-BE18-5532C7DF09FF}"/>
    <cellStyle name="Normal 2 6" xfId="6" xr:uid="{DE255D37-5FA8-4F83-9D47-C400E502FB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48C90CD4-7222-42EF-977B-4684CF4C4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55C931FE-A82C-4638-AEA0-E15DA3694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E8BD50C5-4C18-429B-A302-57989B169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7D8C0484-FE47-4488-8DBA-1B5E4E710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F3703EA0-F43A-4D8F-87EA-E0A6D12E6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747245A6-37C6-4BC6-A1CB-79BC0D3B7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9D0D5E29-B5D9-4E72-A5D6-17F5A9B5E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33184780-6BE5-4C30-9732-58C740A2E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36841353-CF39-4BFE-AB2F-6C5E26F3B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D7944AFF-7F18-4D29-B13E-3BE090E86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B5FCE5A3-58DA-4D96-9537-9E300D011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F369CE82-35D5-46BE-B98C-25872632CD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DDD1CBA7-8383-4BB3-BA79-0A76B5B74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4EA3B3B1-F62C-46E6-85A1-73011F29D6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351AD9F9-8359-452D-82A1-FDECED40D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74557F8E-1C92-4EB4-BF60-BD9A3A033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D1EF62EB-2324-4987-A7DB-46AEFB2DD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2BB45CC1-CB33-4A0F-89E2-839902DC0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506A3A81-3936-4087-9211-35EC02D72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5ECF9762-03D1-4313-9358-FFAEC1E85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957EC433-68F2-49CB-9B86-65F753D6D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09A5E3A3-481F-4F9D-82B7-724B21E6C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73CB2042-484D-4CD6-A119-2C61A9B3D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5ACDFE4E-B025-4625-BE35-A09BA3AB7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1796F945-2E03-4E47-BDF7-F8F22503F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5CDF1B2F-3FD1-4435-BC3A-B6F9259AC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4BEDED54-C757-47F5-A6A7-83435E847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C2B573CC-1A8D-4A5A-9E73-ECE4DB522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DF92BD20-323A-4E39-9CE5-0E8765AA0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AB97604B-B9D9-45F6-B5B1-6329CF6BE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A1A7992B-E8BD-461B-AEF4-46E9D2200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039B2F44-FD36-4202-BD10-953AB6779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AFC7356B-AE9E-405A-8FCF-68D2DFBD7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ABCB0C37-D899-4CBC-B56F-20901FA45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7CDE22B6-0955-47E1-B64A-82768C398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3A1854F3-ADD6-48F6-8BE1-8D84A2153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4A3D9C74-0E3C-4673-92E5-F39E9F5A5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5FA05437-270F-4299-9AFC-1052DB696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F57E3342-3BA6-4BFD-9135-AD6BD0C2F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539B8E62-7500-4906-AA35-AEE477561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5F710595-D377-4470-AA06-32A66B3E9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447E5972-0F72-4135-8E2B-9429B8EC5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20887FCE-F08A-447A-B2EA-EF66FBE12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CDEE8EC7-866E-42E4-B47A-F192291C5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90684DDD-0010-4A4B-B297-3F35247BA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7D01713C-921E-4D62-894C-984F0D780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06611154-6252-4FE3-B636-1EA30A764C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9B1DA564-D12D-4E14-9D27-6D15F9786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529619E5-C60E-430E-8E57-137D19EBCF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FD2A9195-2744-4CE9-84A7-FFE177FE2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55E26136-BA66-4B84-B464-73E3AE4A3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41169DBD-7E17-4178-909F-37EE0E81A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AFCDEC3A-E636-424B-8452-054E94C63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936C244F-C3AF-482D-AA94-BABA3BF9F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66043367-A605-404C-B309-2DF427E06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04BD69A3-ED37-4F3E-B1DA-9932E3E38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64894B31-DA23-4A18-87F8-5DCABBF73B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1DEC1C93-D2EE-4E36-A5A5-6448C506C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6B10E0C7-928C-48D8-837A-F2C9E1323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77921A4F-AE58-4757-AB16-D7CC6598D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B37ABFC9-CE3B-46CE-80AE-789FE130F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EFFA51A6-F725-4CE3-B0CB-89FEE038F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2C572886-6AB1-44EC-9B36-4CE922437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6EDD2425-E89F-4EC6-A814-1CCEC7DEE4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A465DB83-4C62-413E-B719-0A0F5F2FF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5783A678-76E8-4615-BEF9-66D108CB3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7B383768-1744-49B1-9FD5-554DEDB67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6DF77DB9-5744-4634-8D08-5A2649361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741CDD33-AE3D-42C4-811E-F240A6FDB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7A382C7B-204C-428F-B241-691D33187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0B4321C5-2A8B-414D-8E80-4F2A9C22F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1EC4A5BF-BFB0-4700-A5F0-6065D8898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77160C18-B6BE-4505-9FD2-EB7BF7ABB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0ADBD983-09C4-42CE-8279-2F77ED109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4080663E-7BD8-42D7-89C6-5CBEE11C3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4AAB4ADE-26C7-4A9A-AA82-98236C635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F16E3BE8-19E1-4237-959E-A07086A36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B13A83CE-485A-496B-BB30-5F6A2CD5A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9699576F-1F25-49D6-938C-C074D0359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F5B32524-A9CE-40C5-ACE4-A96A0A269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3F4B6B10-929D-4DFB-923D-65AC25EF1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EE2245F3-AE43-4060-AF77-D37F2CD0F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2025D17D-C683-4E0C-AB8E-F59CB87BF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019CDBEF-9B59-4CB6-AD5B-817B6AFC5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5C194E1C-D9D1-4BAA-BC94-EF90D8725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528690DF-F92D-4CD6-BD5E-723E4F254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BFEA16B2-0D94-49F3-9C83-9F625E0F1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2C19B45C-E260-46E3-B5F5-249AB4DA7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7B7D5435-011A-43D6-8A16-CBFF50722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C2E839B6-0428-48B7-A922-02400D985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E188BF8E-BFE5-4973-96B6-D3C404723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82441C51-6A2B-4C2D-B9CF-5B90058D4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7C950A0F-12F7-4E96-A165-B5AE4D475D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2A356A83-308A-4399-A3D3-FAB65A0EB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7E7FFA06-7B47-46FA-95F0-354CF8F74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C3ECA750-4486-4F8B-BDFF-58B8EABF6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318ACD64-2CE9-4376-A0BB-827FE91CE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10CBC97D-0566-41BF-A019-9B70600A6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4DC1D23B-8B78-4AFA-B2E8-6FAD604B9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6A348E1E-8564-47F9-A1A4-FB7DEB579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4935E126-22AE-4A61-8B5C-2A5B201BC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73231158-6039-483D-B7FF-169C6513B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456114E5-1CAB-4127-AFE0-52DED371D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1DCFB44D-1C85-47E3-8EE5-2FFEBD5CC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365C85AA-853C-4D62-890B-17EB9E3BB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0089CC96-0D1E-4F9D-B30F-92AD413CB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BE47BF36-6242-484B-B004-D04FCD4EE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F05ED2AB-E7AD-4D96-BBC3-0192626D6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9B9D1044-75CA-4172-BA51-B0CB3C941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64EC2928-63CB-4755-8CB6-BE0EA839A3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634375E8-D140-4339-8774-98E69B0C3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B8B440B4-6D69-4A37-AEBF-D6ED2B670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76896706-D2E3-491A-89CF-6DDF14F0E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1907022C-A1D9-4F86-ADCC-DFB000B77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0A9782AB-4293-4D0D-B451-DFE816D7C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17631929-2CE3-406B-A5F5-F0AB522C0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266700</xdr:colOff>
      <xdr:row>6</xdr:row>
      <xdr:rowOff>9525</xdr:rowOff>
    </xdr:from>
    <xdr:to>
      <xdr:col>0</xdr:col>
      <xdr:colOff>361950</xdr:colOff>
      <xdr:row>7</xdr:row>
      <xdr:rowOff>104775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2E1AAE8E-C607-475A-BE31-96911B60A790}"/>
            </a:ext>
          </a:extLst>
        </xdr:cNvPr>
        <xdr:cNvSpPr>
          <a:spLocks noChangeAspect="1" noChangeArrowheads="1"/>
        </xdr:cNvSpPr>
      </xdr:nvSpPr>
      <xdr:spPr bwMode="auto">
        <a:xfrm>
          <a:off x="266700" y="1114425"/>
          <a:ext cx="952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745DA6B7-1BEE-41E3-AFC1-99E9FE7AD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5D117700-B02E-4CBA-8BED-2F3E91051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7F8F72C9-735C-48B3-975F-B5FCE854AE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A249A749-D6AA-4AB7-8CF0-31205E9CA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8EDBF49E-7094-4459-AE43-3430C4DC7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3C592C86-B811-4638-8960-51A572274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206A63D2-DC1F-4A92-8F72-1615BBBD2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F7DDA405-5547-4840-BA5A-161EA0878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35C690ED-1C50-46B2-BCFE-50903D72B6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774965F8-CDB7-49FC-83E0-7C3BF3AF2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A5E6E71D-40BB-4441-9983-C1FD2A23E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84090C01-B568-493D-9096-BC2C85871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7C88FBDD-5470-457E-8811-97669903E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331F045A-ECD1-491E-95C7-3F601663F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2F2EB1F1-EA40-40DA-A803-04C362C50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AE4EE006-D14E-4EAF-ADC2-D49874FE0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3B724767-A83C-4D84-9E54-59BDCDD58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CEC4C4EF-0DE8-4F11-B78B-70B2711C7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E9374304-B8BA-41D4-97F1-108F36BC4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FD24502A-21BB-46A8-9D6E-F9F989E653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C1B53FBB-4BA1-40BC-B354-27BAC6F48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FF001493-9BE8-4C3D-82A9-EA23568D6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9A33FC84-9A2B-47FD-B9E6-928D04C53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AA122F88-A142-43D8-8277-ECC230B9F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102132BC-5AEE-4F08-8845-EFA95B0B3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3BE7C8C9-9F7D-402F-971A-9E8537872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4AA280E0-1F88-4D6E-B1B6-76D0E36BC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54794B5C-782C-4CE3-942B-761C8EFA3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D6E17A07-31E9-4CDC-BF5F-FD60CF2CD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27DE307E-04B5-4ADE-9278-3DC3E0422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29DDCADF-B267-4737-A201-6D4D3FA63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46BA3E2A-D344-4236-AB49-65BEF5FDF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4E24592D-D8A9-4C86-A0BD-EEF762717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39798A33-AF70-473A-AB16-EC46049F70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7B7BE494-B6CE-46B9-B0B3-820EAD379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2A9C186C-23DC-440F-9C10-CABD78157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974977BB-12E5-45FF-9C30-356E386A6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63BA558B-4538-4DE1-89F3-A21AB3739D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5DD09E12-1668-42C8-A54F-9F9B04585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9BEED056-18D0-4266-B7CF-DBCC72934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11B796F8-4264-41E3-82F5-26AC71D46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37EF6884-BDF9-404A-82B5-F2ECAAEF7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EAB4B283-452C-4B57-9D5B-BC65A4885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87292AE3-F350-43DE-BFAD-F8E615D25D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FBEC5DD1-C71A-48CF-A178-F77DB2EF2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92FE637F-576D-4B30-B7EB-735568904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2493F231-921C-4E09-9B50-2948AAEE4F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ACAE7604-AF25-4C3E-8A31-5AB8596D5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1B7728FC-C643-4DF8-A414-AF3BDEF09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4F9CEDD8-8E01-407D-BDBA-2A591E6CA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FBCE4CC7-03B4-4C24-B4B3-DC01A3B99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16A356FB-3E25-4F06-BFE8-038BB9615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EB443C90-BD55-436E-B52D-FE74684F9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7169BA47-B9C0-467F-A3DE-B7F5E4806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3A9B326B-FB7F-4B68-8ABF-5FAD9ABBA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B362B3A8-D695-4E23-9671-FCE02B6F1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88741354-7F42-4D53-9327-78BD6663F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B6D7971C-DCDB-497D-B827-4E5381F49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5DD89E55-CD36-4120-A12D-13FC5EC7A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91C7D3C0-15E6-4006-A755-F090449EF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327697A2-8D90-4F7B-8657-2184901BC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851CF545-6010-4E7B-BF94-A8A4C9705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71276BAC-6B96-4AA5-B031-7DE13D0C3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D59CEFD1-9411-41A5-9274-68E14215E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A9437ED6-D00A-4C4E-9140-0827A48C2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C7576280-3509-4E87-B7C1-E8C3575D3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288CFD3D-A2E8-4546-A0B6-E7D518D36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2C54076D-84F9-4B48-9216-AFAA232B3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C21D58A6-DB4A-4D5C-8D65-C814A1B65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5176E810-3494-45D9-BD23-8BE4E0563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52F06DB5-BB66-4242-8D7C-7AF2DC889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36EBDDD8-E2C9-42E9-AE9F-62F7DF0E1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CB4382EF-24C6-447F-9AA1-214177A8D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F3D8A4DC-EE26-44ED-AA54-E13354C2D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40F84192-CA40-46FD-9463-C5D11C8F1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28361BEF-6CE3-4532-8E2C-81440584E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59C240D1-A5CC-45E3-9435-3E52F0021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231D16E9-1B16-4409-815A-7D95BA5A9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36A10366-F446-4255-B23A-E05EDF2A80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F77DA2D2-7F6B-4A2A-8DF6-99268292D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827D2CBE-6ECC-4A65-ADF4-EE680FE27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C22EDE46-F29D-4D3F-8191-A79D940143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15E3345D-61DD-4453-A6EF-EF1602F59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58CD1822-5D82-4994-A9BB-09E20BCBE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269DDF11-6394-4022-8A52-20523B641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3972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F89D26A9-9208-456A-B533-EBCF17AD9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74A07B60-7F81-4B12-B5F6-C315527CD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B8D880F5-4172-4189-AA37-61D0E0876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4F05F32C-ECDB-4AC0-99A1-F39D58AB6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48FBA39A-303E-416F-A10E-8C92D5448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5E5D9FED-6AC5-41B2-960B-7B578B429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C3D3E31A-2F7D-4D6E-B894-C248D8B62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67D4914F-DB77-48E1-868E-3349D6CFE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1C613DD0-08F5-4A39-834D-EB475D02D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C897DBEE-3707-4726-A3AC-B189C1C78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3972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F50A54D3-0B4D-471F-876A-1699ECB66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723900</xdr:colOff>
      <xdr:row>1</xdr:row>
      <xdr:rowOff>0</xdr:rowOff>
    </xdr:from>
    <xdr:to>
      <xdr:col>8</xdr:col>
      <xdr:colOff>280912</xdr:colOff>
      <xdr:row>3</xdr:row>
      <xdr:rowOff>3972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868DC00F-4CB4-49C7-A938-CC05D70EBAB8}"/>
            </a:ext>
          </a:extLst>
        </xdr:cNvPr>
        <xdr:cNvSpPr>
          <a:spLocks noChangeAspect="1" noChangeArrowheads="1"/>
        </xdr:cNvSpPr>
      </xdr:nvSpPr>
      <xdr:spPr bwMode="auto">
        <a:xfrm>
          <a:off x="1333500" y="184150"/>
          <a:ext cx="67056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7FCE45F3-DAA6-40C4-96EC-5E5E0EB71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DC5768E5-699D-41E5-80A4-42DDDD064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5CAD3F44-4ACF-4B29-86AC-CCE488ACC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1AEA11EE-80F8-4180-A3ED-0CD1EDACF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67BF2A31-EC21-42C0-9F39-7FABE7CE8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C9665CFD-AADD-4B30-831F-E734A8694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49A42967-E28A-49E9-A661-140498EC5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61E98427-1C3F-4E2F-9E89-C61EF5628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005422CC-94BB-4906-B89F-C7A41F4D3F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E54CA595-F711-4066-9793-98FE50672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2F7C643D-5C12-4867-8E9D-68F315A7E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C746ECAF-2CB2-4E91-8DB1-6C3A20218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39942656-DECC-49E2-A469-4B0DAE104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28BDF762-0876-4D15-A4B3-78A23D795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F0EC13A9-5D36-4421-928C-35CB4AFDD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D95D3CD5-3A12-42D7-BFFF-99DEA2711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F5C80DCF-36BD-41A7-9C0B-D967EE5E4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22669200-44F0-452B-8AD6-EA3C7C688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5ADE6B50-1AC2-4D07-A19A-089F8793F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A842B5EB-A99E-4250-B511-6832D5424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36A90C57-9C1A-44F6-BFC0-E71FED102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97654466-52AD-40D0-A098-F18EAC1AA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C5663305-CD06-4CD8-9FA1-937C761EE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4C9BEFB6-D18B-498C-8619-22A8AF3DA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EBD4E168-F13E-48EF-85B6-1A9AA33ED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BEF6A681-B023-4E84-801C-0561562F0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B8413DCB-6E52-4EBE-997C-8D777E892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5039BCEA-E2C7-4F69-9A6C-3FD4923AB7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8BEACC45-7DA7-4786-B840-9C8FDF054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9F5DB945-0DD7-4EFC-A9B2-D94D35871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378B3189-5EBB-487A-8728-0514D1EF6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2A3BB05F-D93B-4FA7-8CE7-03B96CE6F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6667DEDE-B630-4EB2-9152-BF1D11190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F9AB451B-A71A-4054-A782-BB27321682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6EFF47FE-7C58-48EA-82F8-B7F851DA5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373A9E40-0121-41F3-9802-29ECAF8CA9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F38D12FA-417B-4AE4-96C6-290BE7590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5383B8C2-95DA-48FE-A16B-7481DA82A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6E5EE608-6365-4688-B118-2BC5ECF19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96AD8C9F-B360-4A31-9AA7-5ED6CC9AEE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233B53AD-C645-45AA-8B8D-21F4340D7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9E7B0C2A-719B-4333-9EC0-B0AA36821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4FA2117F-4CEB-4BC9-84C0-BBFC068D4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42A2961F-717D-43F3-B897-93A7B21E6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D1B545B3-EC2F-4EC6-B5F1-0731AE61A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75E1F152-97CB-4AE3-8CF3-96ACFDBD2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8F5CF533-0CB6-4D0B-B500-3A603B256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377DFBF2-7068-4496-A025-3E01F415E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CA08B69B-77B3-462D-B4C6-5D67734BD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2755DAC7-15A4-43A0-BB07-4D252D448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6DC48590-B15B-4592-BEB6-08B37ACE1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6BA95335-7CA2-49D5-BC17-1CC021CC9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DBE21C4D-F023-4C6A-85CE-917638D93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F528EAB4-38F4-4426-AD50-9E0BFA108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CC4B7864-F62C-4CA8-89BA-BE6EC8249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92606C84-62B3-4283-9799-B1995330D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F9B8555C-DFCA-4EE6-B7DA-33FA4AB7E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C5393ED4-16A7-4B6D-91F5-931054161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33183065-B7CA-44FE-9650-218B0E622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8BBCF1DD-9D00-4AFF-8FB7-D336645BF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0660B666-F5DF-4021-9C29-64A30CB2C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5074924C-53D5-4004-996F-DAF11BF054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33086AAE-D0F1-4D6E-9279-B7AADF12A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266700</xdr:colOff>
      <xdr:row>2</xdr:row>
      <xdr:rowOff>9525</xdr:rowOff>
    </xdr:from>
    <xdr:ext cx="323850" cy="279400"/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FC35CA5F-6208-40AD-84F5-D3ADA7B3FC6A}"/>
            </a:ext>
          </a:extLst>
        </xdr:cNvPr>
        <xdr:cNvSpPr>
          <a:spLocks noChangeAspect="1" noChangeArrowheads="1"/>
        </xdr:cNvSpPr>
      </xdr:nvSpPr>
      <xdr:spPr bwMode="auto">
        <a:xfrm>
          <a:off x="266700" y="37782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052EE413-6F12-4E45-8382-89DEC62BB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B9359E4D-D5A4-409F-AB25-3BDD6E935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F5069B9F-596F-4A7C-9C95-E8E84F88C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181B4253-8A5B-4B07-891D-2F86909BC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3D4ACA70-9409-45E6-9C1A-DE78F52A6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6A4087FA-D558-4D4D-964A-06E9C07BA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471D69E3-C9CC-4756-ABAF-1A3597B65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0B2109FE-5AAE-4FDC-B830-264634C49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D5F82A75-3102-48CB-A576-BD2071AC1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298450"/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5036C5CE-E24F-4BB6-8C6A-C05266B60A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BCB0D67D-41E7-4D02-AD2E-D29D4912F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5145E6B7-CD07-4CD2-BE5E-0B70D48CB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CC9DCCA4-5282-4A5B-9400-E1D90577B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7305E4C4-28A4-44FD-BC0C-5B0CF1AC2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A314E12D-170D-4AE4-9D08-8A845676C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98023DE8-47B4-4279-A024-CC888B772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ADDDFAEF-E001-416B-8493-A6BDD295F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1854909D-1D12-4C4B-8F07-8D6A12FB6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8F4842BD-502A-4FE6-9B31-16283A350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B887DADC-5F3E-43E8-8740-46A3301D8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ACD29BFD-97DB-45AF-B2E1-BB7862A1A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4BBAD0BE-26A9-4EA5-9E05-7A46AA459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C1FDAF4F-11AA-4778-BD1B-19AB23F64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FF9348E8-9F8F-45EB-9E1C-0053B0122C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E794DAED-D960-4051-9AE6-721AF4CD7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C00100DD-C4FF-4340-9A2B-FEDB3B6C9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1A0B6A29-BDAB-48A5-9874-EDA2960C1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759C742D-FF60-42DF-83E4-A79DE532F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1B91BE8D-203D-4DAD-8EA0-1046F3AFC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0450A6BA-040D-482C-AF4B-B66E42F26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516CB6CB-51D3-41D4-A420-5BD6E7C32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FD43DE79-D5A1-4C18-AF97-7D4D01BCB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CEDBC4EE-FEE8-42AE-82A8-20887CF7B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BFC5F98C-FF17-476F-9872-800767DB56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DF5C3E6D-676F-46D5-84BE-81AA09C8F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32704D31-1049-4EC2-9711-93CB8B6CCE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9456FD5F-AD56-488A-AE0F-7A593B174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6E8D76AB-500F-4308-B9FD-1DDB502934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98500839-3986-4C3B-98CF-577674E8D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D407FCA7-BD22-425C-9B5F-501723592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C0B0EAF7-67EB-40A8-8FA0-F5F0A3E91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B14443C1-F4D8-457A-B690-E77F13701F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B43A9890-9984-4FAD-9657-C332E700F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01FB29EB-48E0-4480-A114-54675E97D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27C9B304-290E-47D4-A426-9D067E4D0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40E124D7-CB08-40A3-A101-A8AF282BA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4745DC53-08C7-42AA-95D4-81313925C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B5A794E9-6636-4F17-8B59-DD7825021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E7C73EA7-F466-4B1B-81EA-242547292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6D0A08A4-E61C-473E-916C-993C0CF3C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4CFC5794-F025-4997-9746-4D36AAE01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89A9A21E-8928-4AE2-8D76-36999E038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EBF3347B-6823-4BF3-8786-F7C294822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4557269A-09F1-4280-AB16-71BAB1F7D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1DE123A4-6039-4CBB-8E9D-DA9650113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505BF38A-E3E4-490C-8343-6212BDC8E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B9427DA5-88E4-4848-8E32-539C0CD46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334BB74C-5CBC-47DF-8E52-0E8BF10AE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CD902EE2-F424-462A-BB92-79AE61D53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87B4CE27-8909-4220-B23E-F5ED27544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9778D413-3469-4277-B417-0D07A1009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DAC01E8D-F88B-48CF-A96D-2B0A1A14E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573DC252-0A47-450A-A4DD-DCF86691D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8A9836FC-8FA0-46FF-9DEA-980D05933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07364B06-0357-4CDB-BD27-189201DAF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FCE2E32D-9FE6-4AD4-8063-283C93264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9C69643B-E187-4DB6-83FD-9F0EBD63C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F90A41E5-D4BB-4F78-BDE6-6B02515A7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1E9AA7CE-675A-47B7-B97D-6FF5DD5F7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DB7E3EAF-CBA2-48D7-AD43-E883646CE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C2E0ADE8-3A8E-4F2C-8634-9F4191227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11154A63-AD38-4A05-8F84-0F5966349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88CEE759-6085-45BC-B76A-D48EE5C38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EBB13C53-3EFD-4F93-9456-ED80AB18A2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F48902CC-ED33-4FFA-9FB5-91DF1B4BB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4953899E-288B-4C21-A718-F2A4FF2C8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35FF3E38-4063-4AE3-8589-EE803B5E8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0EF7D403-9C95-4401-A228-0034BB3095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EC88FA02-231C-4831-B4B2-1FA8E0E77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CAED5527-0666-40D3-8078-48C5339B7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892DDAF5-60C5-4E7B-8F8B-B78308510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14</xdr:row>
      <xdr:rowOff>3972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FCE2C0D7-BB4A-4851-97CB-D4D3D85E3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467EF460-B108-4002-824F-31C7AE852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AF314018-AEE1-4D00-94A4-D6E1FBA6A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8F913DAC-1714-40BF-A466-020980495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846EB23B-3248-42A7-B2CA-172E1F336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A9B7754B-DF0F-43F6-9333-5C889D478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924DD461-FB1B-44F7-9123-B5A24F88B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1568013B-AED0-4513-BFD7-1B0C58544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8F544D38-B9E0-465F-B105-AE8488146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691F5A4A-5A74-450A-A1D5-F2113B6B9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3972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E3330D05-A7D8-41AB-B483-CC7AC1BCD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B54E58CE-A96F-4608-A498-EDE25FB29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B7297B95-FAE5-4F91-B098-5B19AE94D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4DB7CA41-0E45-4B20-B1D2-98A2D6C8D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7B3A8EA0-8F73-4D73-B8A6-072EC64B6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5E4245A3-2335-4A1F-A3CA-F0FE997BE4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DFF5D04B-86E8-42ED-AC86-97BA864D6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6DBB2295-314E-4F4A-BBC7-B25C2A956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379AB549-74DD-4F07-83C1-7EAC6DA66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306DC6D6-3DEE-4F0F-88D7-B9AF8F047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9</xdr:col>
      <xdr:colOff>517525</xdr:colOff>
      <xdr:row>16</xdr:row>
      <xdr:rowOff>66675</xdr:rowOff>
    </xdr:from>
    <xdr:ext cx="304800" cy="29845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4D4E06A-9176-4DAA-A55A-D84F8E68ECC2}"/>
            </a:ext>
          </a:extLst>
        </xdr:cNvPr>
        <xdr:cNvSpPr>
          <a:spLocks noChangeAspect="1" noChangeArrowheads="1"/>
        </xdr:cNvSpPr>
      </xdr:nvSpPr>
      <xdr:spPr bwMode="auto">
        <a:xfrm>
          <a:off x="9363075" y="2276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B4" zoomScale="105" workbookViewId="0">
      <selection activeCell="K19" sqref="K19"/>
    </sheetView>
  </sheetViews>
  <sheetFormatPr defaultRowHeight="14.5" x14ac:dyDescent="0.35"/>
  <cols>
    <col min="2" max="2" width="44.36328125" bestFit="1" customWidth="1"/>
    <col min="3" max="3" width="14.36328125" bestFit="1" customWidth="1"/>
    <col min="11" max="11" width="17.6328125" bestFit="1" customWidth="1"/>
  </cols>
  <sheetData>
    <row r="1" spans="1:11" x14ac:dyDescent="0.35">
      <c r="A1" s="6" t="s">
        <v>11</v>
      </c>
      <c r="B1" s="6" t="s">
        <v>12</v>
      </c>
      <c r="C1" s="1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</row>
    <row r="2" spans="1:11" x14ac:dyDescent="0.35">
      <c r="A2" s="1">
        <v>1</v>
      </c>
      <c r="B2" s="2" t="s">
        <v>0</v>
      </c>
      <c r="C2" s="1">
        <v>8011780009284</v>
      </c>
      <c r="D2" s="3">
        <v>1.07</v>
      </c>
      <c r="E2" s="4">
        <v>0.08</v>
      </c>
      <c r="F2" s="4">
        <v>0.37</v>
      </c>
      <c r="G2" s="5" t="s">
        <v>1</v>
      </c>
      <c r="H2" s="4">
        <v>0.05</v>
      </c>
      <c r="I2" s="4">
        <v>0.21</v>
      </c>
      <c r="J2" s="14" t="s">
        <v>2</v>
      </c>
      <c r="K2" s="6" t="s">
        <v>24</v>
      </c>
    </row>
    <row r="3" spans="1:11" x14ac:dyDescent="0.35">
      <c r="A3" s="1">
        <v>2</v>
      </c>
      <c r="B3" s="7" t="s">
        <v>3</v>
      </c>
      <c r="C3" s="8">
        <v>8011780009246</v>
      </c>
      <c r="D3" s="3">
        <v>1.07</v>
      </c>
      <c r="E3" s="4">
        <v>0.08</v>
      </c>
      <c r="F3" s="4">
        <v>0.37</v>
      </c>
      <c r="G3" s="5" t="s">
        <v>1</v>
      </c>
      <c r="H3" s="4">
        <v>0.05</v>
      </c>
      <c r="I3" s="4">
        <v>0.21</v>
      </c>
      <c r="J3" s="14" t="s">
        <v>2</v>
      </c>
      <c r="K3" s="6" t="s">
        <v>24</v>
      </c>
    </row>
    <row r="4" spans="1:11" x14ac:dyDescent="0.35">
      <c r="A4" s="1">
        <v>3</v>
      </c>
      <c r="B4" s="7" t="s">
        <v>4</v>
      </c>
      <c r="C4" s="8">
        <v>8011780000915</v>
      </c>
      <c r="D4" s="3">
        <v>1.07</v>
      </c>
      <c r="E4" s="4">
        <v>0.08</v>
      </c>
      <c r="F4" s="4">
        <v>0.37</v>
      </c>
      <c r="G4" s="5" t="s">
        <v>1</v>
      </c>
      <c r="H4" s="4">
        <v>0.05</v>
      </c>
      <c r="I4" s="4">
        <v>0.21</v>
      </c>
      <c r="J4" s="14" t="s">
        <v>2</v>
      </c>
      <c r="K4" s="6" t="s">
        <v>24</v>
      </c>
    </row>
    <row r="5" spans="1:11" x14ac:dyDescent="0.35">
      <c r="A5" s="1">
        <v>4</v>
      </c>
      <c r="B5" s="7" t="s">
        <v>5</v>
      </c>
      <c r="C5" s="8">
        <v>8011780000960</v>
      </c>
      <c r="D5" s="3">
        <v>1.07</v>
      </c>
      <c r="E5" s="4">
        <v>0.08</v>
      </c>
      <c r="F5" s="4">
        <v>0.37</v>
      </c>
      <c r="G5" s="5" t="s">
        <v>1</v>
      </c>
      <c r="H5" s="4">
        <v>0.05</v>
      </c>
      <c r="I5" s="4">
        <v>0.21</v>
      </c>
      <c r="J5" s="14" t="s">
        <v>2</v>
      </c>
      <c r="K5" s="6" t="s">
        <v>24</v>
      </c>
    </row>
    <row r="6" spans="1:11" x14ac:dyDescent="0.35">
      <c r="A6" s="1">
        <v>5</v>
      </c>
      <c r="B6" s="7" t="s">
        <v>6</v>
      </c>
      <c r="C6" s="8">
        <v>8011780001325</v>
      </c>
      <c r="D6" s="5">
        <v>1.42</v>
      </c>
      <c r="E6" s="9">
        <v>0.08</v>
      </c>
      <c r="F6" s="9">
        <v>0.23</v>
      </c>
      <c r="G6" s="5">
        <v>1.01</v>
      </c>
      <c r="H6" s="9">
        <v>0.14000000000000001</v>
      </c>
      <c r="I6" s="9">
        <v>0.21</v>
      </c>
      <c r="J6" s="14">
        <v>1.39</v>
      </c>
      <c r="K6" s="6" t="s">
        <v>24</v>
      </c>
    </row>
    <row r="7" spans="1:11" x14ac:dyDescent="0.35">
      <c r="A7" s="1">
        <v>6</v>
      </c>
      <c r="B7" s="7" t="s">
        <v>7</v>
      </c>
      <c r="C7" s="8">
        <v>8011780007839</v>
      </c>
      <c r="D7" s="5">
        <v>1.26</v>
      </c>
      <c r="E7" s="9">
        <v>0.08</v>
      </c>
      <c r="F7" s="9">
        <v>0.26</v>
      </c>
      <c r="G7" s="5">
        <v>0.86</v>
      </c>
      <c r="H7" s="9">
        <v>0.15</v>
      </c>
      <c r="I7" s="9">
        <v>0.21</v>
      </c>
      <c r="J7" s="14">
        <v>1.19</v>
      </c>
      <c r="K7" s="6" t="s">
        <v>24</v>
      </c>
    </row>
    <row r="8" spans="1:11" x14ac:dyDescent="0.35">
      <c r="A8" s="1"/>
      <c r="B8" s="7"/>
      <c r="C8" s="8"/>
      <c r="D8" s="5"/>
      <c r="E8" s="9"/>
      <c r="F8" s="9"/>
      <c r="G8" s="5"/>
      <c r="H8" s="9"/>
      <c r="I8" s="9"/>
      <c r="J8" s="14"/>
      <c r="K8" s="6"/>
    </row>
    <row r="9" spans="1:11" x14ac:dyDescent="0.35">
      <c r="A9" s="1">
        <v>9</v>
      </c>
      <c r="B9" s="10" t="s">
        <v>8</v>
      </c>
      <c r="C9" s="11">
        <v>5908234813234</v>
      </c>
      <c r="D9" s="12">
        <v>1.86</v>
      </c>
      <c r="E9" s="9">
        <v>0.08</v>
      </c>
      <c r="F9" s="9">
        <v>0.2</v>
      </c>
      <c r="G9" s="5">
        <v>1.3340000000000001</v>
      </c>
      <c r="H9" s="9">
        <v>0.14000000000000001</v>
      </c>
      <c r="I9" s="9">
        <v>0.21</v>
      </c>
      <c r="J9" s="14">
        <v>1.89</v>
      </c>
      <c r="K9" s="6" t="s">
        <v>24</v>
      </c>
    </row>
    <row r="10" spans="1:11" x14ac:dyDescent="0.35">
      <c r="A10" s="1"/>
      <c r="B10" s="10"/>
      <c r="C10" s="11"/>
      <c r="D10" s="12"/>
      <c r="E10" s="9"/>
      <c r="F10" s="9"/>
      <c r="G10" s="12"/>
      <c r="H10" s="9"/>
      <c r="I10" s="9"/>
      <c r="J10" s="14"/>
    </row>
    <row r="11" spans="1:11" x14ac:dyDescent="0.35">
      <c r="A11" s="1">
        <v>12</v>
      </c>
      <c r="B11" s="10" t="s">
        <v>9</v>
      </c>
      <c r="C11" s="11">
        <v>3858891292502</v>
      </c>
      <c r="D11" s="12">
        <v>1.1399999999999999</v>
      </c>
      <c r="E11" s="9">
        <v>0.08</v>
      </c>
      <c r="F11" s="9">
        <v>0.32</v>
      </c>
      <c r="G11" s="12">
        <v>0.71</v>
      </c>
      <c r="H11" s="9">
        <v>0.15</v>
      </c>
      <c r="I11" s="9">
        <v>0.21</v>
      </c>
      <c r="J11" s="14">
        <v>0.99</v>
      </c>
      <c r="K11" s="6" t="s">
        <v>24</v>
      </c>
    </row>
    <row r="12" spans="1:11" x14ac:dyDescent="0.35">
      <c r="A12" s="1">
        <v>13</v>
      </c>
      <c r="B12" s="10" t="s">
        <v>10</v>
      </c>
      <c r="C12" s="11">
        <v>3858891292519</v>
      </c>
      <c r="D12" s="12">
        <v>1.1399999999999999</v>
      </c>
      <c r="E12" s="9">
        <v>0.08</v>
      </c>
      <c r="F12" s="9">
        <v>0.32</v>
      </c>
      <c r="G12" s="12">
        <v>0.71</v>
      </c>
      <c r="H12" s="9">
        <v>0.15</v>
      </c>
      <c r="I12" s="9">
        <v>0.21</v>
      </c>
      <c r="J12" s="14">
        <v>0.99</v>
      </c>
      <c r="K12" s="6" t="s">
        <v>24</v>
      </c>
    </row>
    <row r="13" spans="1:11" x14ac:dyDescent="0.35">
      <c r="A13" s="10">
        <v>14</v>
      </c>
      <c r="B13" s="6" t="s">
        <v>22</v>
      </c>
      <c r="C13" s="13">
        <v>3858891292069</v>
      </c>
      <c r="D13" s="3">
        <v>0.54</v>
      </c>
      <c r="E13" s="4">
        <v>0.08</v>
      </c>
      <c r="F13" s="4">
        <v>0.1</v>
      </c>
      <c r="G13" s="3">
        <v>0.45</v>
      </c>
      <c r="H13" s="4">
        <v>0.2</v>
      </c>
      <c r="I13" s="4">
        <v>0.21</v>
      </c>
      <c r="J13" s="14">
        <v>0.65</v>
      </c>
      <c r="K13" s="6" t="s">
        <v>24</v>
      </c>
    </row>
    <row r="14" spans="1:11" x14ac:dyDescent="0.35">
      <c r="A14" s="10">
        <v>15</v>
      </c>
      <c r="B14" s="6" t="s">
        <v>23</v>
      </c>
      <c r="C14" s="13">
        <v>3858891292007</v>
      </c>
      <c r="D14" s="3">
        <v>0.54</v>
      </c>
      <c r="E14" s="4">
        <v>0.08</v>
      </c>
      <c r="F14" s="4">
        <v>0.1</v>
      </c>
      <c r="G14" s="3">
        <v>0.45</v>
      </c>
      <c r="H14" s="4">
        <v>0.2</v>
      </c>
      <c r="I14" s="4">
        <v>0.21</v>
      </c>
      <c r="J14" s="14">
        <v>0.65</v>
      </c>
      <c r="K14" s="6" t="s">
        <v>24</v>
      </c>
    </row>
    <row r="15" spans="1:1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35">
      <c r="A16" s="10">
        <v>16</v>
      </c>
      <c r="B16" s="6" t="s">
        <v>25</v>
      </c>
      <c r="C16" s="13">
        <v>8606103485724</v>
      </c>
      <c r="D16" s="3">
        <v>3.59</v>
      </c>
      <c r="E16" s="4">
        <v>0.08</v>
      </c>
      <c r="F16" s="4">
        <v>0.13</v>
      </c>
      <c r="G16" s="3">
        <v>2.87</v>
      </c>
      <c r="H16" s="4">
        <v>0.15</v>
      </c>
      <c r="I16" s="4">
        <v>0.21</v>
      </c>
      <c r="J16" s="14">
        <v>4</v>
      </c>
      <c r="K16" s="6" t="s">
        <v>24</v>
      </c>
    </row>
    <row r="17" spans="2:11" x14ac:dyDescent="0.35">
      <c r="B17" s="19" t="s">
        <v>26</v>
      </c>
      <c r="C17" s="20">
        <v>5319991511422</v>
      </c>
      <c r="D17" s="15">
        <v>1.62</v>
      </c>
      <c r="E17" s="18"/>
      <c r="F17" s="18">
        <v>0.12</v>
      </c>
      <c r="G17" s="17">
        <f>D17-(F17*D17)</f>
        <v>1.4256000000000002</v>
      </c>
      <c r="H17" s="18">
        <v>0.15</v>
      </c>
      <c r="I17" s="18">
        <v>0.21</v>
      </c>
      <c r="J17" s="14">
        <f>(G17+(H17*G17))+I17*(G17+(H17*G17))</f>
        <v>1.9837224000000002</v>
      </c>
      <c r="K17" s="16" t="s">
        <v>27</v>
      </c>
    </row>
  </sheetData>
  <phoneticPr fontId="6" type="noConversion"/>
  <dataValidations count="1">
    <dataValidation type="whole" allowBlank="1" showInputMessage="1" showErrorMessage="1" sqref="B8 B4" xr:uid="{81946FB7-48DD-4DB3-A63E-F447F320BF2E}">
      <formula1>0</formula1>
      <formula2>36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2026-01-26T09:20:32Z</dcterms:modified>
</cp:coreProperties>
</file>