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6\marketing\akcije\februar\"/>
    </mc:Choice>
  </mc:AlternateContent>
  <xr:revisionPtr revIDLastSave="0" documentId="13_ncr:1_{A6E79A8D-28C1-452B-B871-C8E71EC95F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J11" i="1" s="1"/>
  <c r="G12" i="1"/>
  <c r="J12" i="1" s="1"/>
  <c r="G10" i="1"/>
  <c r="J10" i="1" s="1"/>
</calcChain>
</file>

<file path=xl/sharedStrings.xml><?xml version="1.0" encoding="utf-8"?>
<sst xmlns="http://schemas.openxmlformats.org/spreadsheetml/2006/main" count="39" uniqueCount="26">
  <si>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</si>
  <si>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</si>
  <si>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</si>
  <si>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</si>
  <si>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</si>
  <si>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</si>
  <si>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</si>
  <si>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</si>
  <si>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</si>
  <si>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</si>
  <si>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</si>
  <si>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Napolitanke Quadratini 125g Kokos Loacker </t>
  </si>
  <si>
    <t>Napolitanke Quadratini 125g Napolitaner Loacker</t>
  </si>
  <si>
    <t>Napolitanke Quadratini 125g Cokolada Loacker</t>
  </si>
  <si>
    <t xml:space="preserve">Napolitanke Happy Karpatka sa kokos filom 140gr FLIS </t>
  </si>
  <si>
    <t>Napolitanke Happy Karpatka sa cokoladnim filom 140gr FLIS</t>
  </si>
  <si>
    <t>Napolitanke Happy Karpatka sa ljesnik filom 140gr FLIS</t>
  </si>
  <si>
    <t>19.02-25.02.</t>
  </si>
  <si>
    <t>Kornisoni extra 720ml CAPSI FOOD</t>
  </si>
  <si>
    <t>Feferoni ljuti 680gr DELECO</t>
  </si>
  <si>
    <t>Ovsena kasa malina 65gr My Life</t>
  </si>
  <si>
    <t>Ovsena kasa cokolada 65gr My Life</t>
  </si>
  <si>
    <t>Ovsena kasa sumsko voce 65gr My Life</t>
  </si>
  <si>
    <t>Ovsena kasa ljesnik 65gr My Life</t>
  </si>
  <si>
    <t xml:space="preserve">Ajvar ljuti 720ml CAPSI FOOD </t>
  </si>
  <si>
    <t xml:space="preserve">Ajvar blagi 720ml CAPSI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</si>
</sst>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1" fontId="3" fillId="2" borderId="1" xfId="1" applyNumberFormat="1" applyFont="1" applyFill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2" fontId="4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0" fontId="4" fillId="0" borderId="1" xfId="0" applyFont="1" applyBorder="1"/>
    <xf numFmtId="1" fontId="3" fillId="2" borderId="1" xfId="0" applyNumberFormat="1" applyFont="1" applyFill="1" applyBorder="1" applyAlignment="1">
      <alignment horizontal="right"/>
    </xf>
    <xf numFmtId="1" fontId="1" fillId="0" borderId="1" xfId="0" applyNumberFormat="1" applyFont="1" applyBorder="1"/>
    <xf numFmtId="2" fontId="4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/>
  </cellXfs>
  <cellStyles count="2">
    <cellStyle name="Normal" xfId="0" builtinId="0"/>
    <cellStyle name="Normal 2 2" xfId="1" xr:uid="{E4A024F9-EA0E-4FE1-A57C-FCA1F4673B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1F7D323-045F-4FBB-A163-2A812475FF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D648EE29-54E8-439A-80A2-8876C0E7D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905C418-8FD0-4A72-A1AE-BD5F5A210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40E0ADD2-2A8A-4C91-A19D-64F886E77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A59F8EF-EEDF-4F21-B255-DC14F72DB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EF64EFA8-0B85-435D-8A5B-107E64848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1C614AE4-C5AD-4B08-8DA1-047B73D55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EE2C4AF4-4538-4657-84E2-25DE38A10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F1D4E3F3-D62C-4EEE-A2AB-40FFED25E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25733C2D-0770-4C87-B320-26AD7A9D9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6EB64C6-08A1-42B6-8747-2C4132F30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B2E8B2B-0FFE-4898-A5B8-C71697CF4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8A712877-4C91-4ACB-AEFA-8C89D6AD6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1E534C23-5C2D-44F3-9807-9251B7E4D8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3A2F1B75-4BF9-4E70-A6D2-CF2AE5DBA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040E8176-5D6A-4BFA-BC7A-A5BBDF5DE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E68D5167-01F9-44BA-9560-D6B38DF3E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1031413A-4D76-44FE-8335-C24D27812E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575D161-04CB-44AA-A8F1-7C4F26EB2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3CA5DAC7-4C51-434F-98C0-43136C4EB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A8814155-9026-4A23-BC34-8EA53EA4A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F1215A7-628C-49F2-A2B7-3517669C3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825DD72F-FDD7-4997-BF21-95D1DAC78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D7D7A1D5-3BB8-49B9-B69B-7E9E87FF4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1DD6FB92-4B95-4DF0-97A1-0786ED33C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7B55D846-A984-4EA3-82DE-7EB20B3FE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4176317-B912-4AAF-BF1A-7ED96EDD34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9A4985CE-3769-4C56-A0F9-E0C1CCB8C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62A44C0-D2F5-429D-A0DB-CD08A521D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3E66047-C12D-4FF9-8CBA-89690CCA7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A32C6BCF-C7B7-48AC-B094-762D1AC8F4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A8B73955-6594-456A-9EE6-3677AB3DB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E69117C2-EF53-48BF-BAE6-B378A22F1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372A8E53-46E3-4653-A4F5-A8BFCF61E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36E3425A-2663-4659-9221-A0D26DC47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1EE3C62C-D134-4082-B844-5A20506E3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11F4E06-C34C-4B9E-9645-950F2DB5C4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326B832D-4513-413E-B213-37B08E648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89D896B5-91C8-42CF-B8F4-67C054B83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5D0B2B83-1E19-4BC1-9288-0FBDEA240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D97FD87-5289-4EA6-8782-F78B0D2C5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89E8A101-96B2-4674-B7FB-CAB49937B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461BE530-5DCE-47EE-A034-6FD03851B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DC75E7B6-19D3-4199-8BB2-3AE5C945A4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35A10EB4-ACF6-4EEE-9779-EC0164828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E9623DA0-B70C-4841-ADAD-FEBA4ADBA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535B8422-3A36-46D0-8215-4FF7800CB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7760A4AB-E9FF-4ED8-8C43-23C14887C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A935F383-714A-4DE6-BBC6-F18DE6FF0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85A19F32-0DFE-4736-B8B4-BF091527B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F778B94A-9D69-498C-80BD-49B8147BE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3935746F-89E5-4F6E-A01A-DF1E093BD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FB610C09-9A3C-47E6-9C2D-71B36DCF1451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C5A8FBA-D9DC-4558-B0A8-6195544D4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33EA49F9-EBD0-45FE-95B4-B30E59BB0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E4F058D2-C93D-4454-8730-AD9ADFBCB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96F0CA37-C228-4429-A388-7F79992D39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B244318C-DD33-4E41-B96C-65E96B5A1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65D0876B-91B7-4D6B-ADBB-ADD430B0A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BF166C74-A2CF-46BB-9CB3-E93A056F8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32CD5B7B-2094-49F9-A058-4732C88291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86FD3863-0657-426B-A718-0F92685EE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371FBF40-95D8-4C1F-940F-0456DF549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BFBCE1B7-83A2-4318-8580-5C071F514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261FDBC4-C769-457E-85B5-A1A1A8246C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6872076A-B1CE-49E0-AAF4-08EC99303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A2EF223-220C-455D-AB74-4E4316220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C6464264-460B-4902-8D44-4B9173F3E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FDC9BF39-29D8-4AC6-AD40-43999B36E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66E492D3-8BE8-4BDF-A3FB-1619FDCBF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0AA6F68D-804D-441D-8E4D-68AA910D6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7FB8CEA6-68D9-4E8B-B5A4-84F083925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DB691F69-74A9-439B-89F0-C2B115160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93003EDE-C45F-4DFB-AFB0-B6486BBBD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EB5A83D2-DA76-4927-A92D-DAEC0230A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7AE256CB-0FD9-4D84-AA51-51C24C7F7F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4A20BAE9-ABC1-4B03-A2BD-A2ADE957B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B71B7DAA-5454-4BDA-B416-A534823CD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E2C281C3-FEA6-46D9-A3FF-FB6898B51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8B55367D-9EE5-4099-BCCD-18DA6C1B34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3D45460D-438F-432F-80E2-A4708F899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8A9F8B3D-E7D3-46FC-997F-406040933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B155DDFA-82AF-48D8-817B-E13BA2C68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EDE0A6AD-CEB2-4EE3-B353-F88C1E1B4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8E3924ED-0F2F-4263-88BC-D581282C4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3998C01-39F3-4B0D-8478-2CD9B47C1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65E6B23B-D9C9-4522-8687-23AB7A494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18B3E19B-D888-4D55-A571-64CB6ED69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3D0A05FC-69B9-43DA-83DD-31922D0C463D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918423D0-D1CC-421A-930D-77C96ACF5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98B47F41-B060-451E-90F8-D4227C13A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6A3D92E5-0BBC-48E0-835E-82E2B13AB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F323F95F-441A-451F-88FD-66902F3CE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C04CF448-D6D2-4F60-BB1E-70692719E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87197A99-D46A-46E5-BA0B-0135BA957C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C2EA2914-FDE3-4939-AC27-0DDEF3192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3AE888FF-A5CA-485B-AD90-4B0C5A4E3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7735D7BF-617B-4583-A9F5-2E83BDEB5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BC2CC19E-2AAB-4772-A76F-EF3E47395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FA24ECE4-1C6F-4AE2-887E-BB552BE2B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2E0F7E6F-2D4E-4F80-8594-2A3FD09C9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CBA6A5BC-EA7D-44F4-BF66-84890E6E3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F8ED511A-EC34-4654-8EFA-23CDDF911D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A0A393AB-E273-481D-86C3-8D7B1F357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9B932338-E6A9-4040-A08A-E193CAF23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3DBB7CBE-4A46-487B-86AE-6C1F58B6F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1B8CAE1F-1352-407A-80EB-7400A425A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A2BB2C7-6086-457A-A936-4BD2D6679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2FFE231F-9C64-4F0C-8024-4EB5203B9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CE4BF1FD-43B7-4F7F-BE28-305E01046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437E2F20-E791-4886-86A2-E08BB67284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4083D830-1B0F-427D-A55B-948E472B9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F4C52D23-07BE-4EFB-AF6C-E6BFBCE6C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0EEA8720-D988-40A8-AD69-ECFA8BE4C1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8CFDDCC5-913F-412D-BCAE-A7CA01FF8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D6D6562E-820D-48BA-B0FB-ED145250F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7B8E91AE-92AC-49A5-A1C7-0D277CFF2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455F5EEB-A44A-4F41-B841-186EEA1CA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46E163EE-08A6-4452-A821-EDAE83292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C3E5803A-1FB1-4339-B484-715074F93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0E1F02F8-65B5-43EF-BBEA-069E76018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6155543B-00B8-4046-AA3E-A82F33D0C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1E8CE57D-906E-48C8-943F-D3A16C204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42CB356B-2E4D-4E87-9A76-AC55805D4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676303D0-2C3F-4706-A62E-32E935147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C5AB4643-E03A-4606-AEE3-2D86291DA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ACDD8BDE-139C-49CA-BE38-C95A3993B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81DB0072-A311-486C-9C82-E75C39E43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C87DC622-2024-4BD3-A86E-9382296AA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A0E4557E-E3C8-48BC-BA1A-C6DC8A4D6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530FF08E-C5A0-4D08-B962-885C7A441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7E9933A2-2529-4408-BE92-44A4B6CC1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CDFDB7A6-4ADF-4BD3-9111-138A629EE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F6443CD6-ECFF-48C9-B5AB-A215C5A7C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921E3DE9-20CB-4FD4-869B-6A3EC4E2D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13E1E04B-F74E-4082-82F5-A1E0E7B1A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EBD5D1F7-0B73-4924-B735-A75D9D40A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DD14CFCE-36D6-41DE-BD1E-1C5A65ED6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8CD181D7-8EBA-4E6E-AF3B-A733D8FC18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726AFAF3-7219-46FF-9B2E-D5FD31B68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387CE608-CBF4-4A53-8C00-99A2B60C9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2EB94CF9-91D2-4717-9D49-BCCCCA52B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24405933-287B-4D94-A976-287860B1F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75AC983F-FE69-49CE-9552-A167D0B0F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1871CEFE-8F87-476B-8E44-75805D773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8D8927CE-C949-4E25-9229-5349EE6F1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0BC8EBE7-3D1D-47B2-AAC4-AD80E6381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2305BD7A-3F83-4EA7-83D6-CBF505098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3F933609-9944-4D57-97AF-BCAAA3623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D889CC51-A14B-4D35-A1E3-0FDADCF53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16ABDAC6-676E-4B80-95E3-63368F56F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CE33D25E-46D1-485C-AE35-8BA858E3A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2BAA5B80-B17D-4B87-9973-962CACE82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DB55A4C0-E07C-4F1D-B0DD-5E4415652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70695B35-9A6B-413D-AD51-56CB5E160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311379AC-FE6B-4C22-8710-5510A232F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6572F5B9-46F0-411A-9CE0-CFC91DB3F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44754271-8B8F-41A8-B168-193DAE5B3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85EDA694-6A7C-4AFC-9405-96648928B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17186ED9-BA20-4A46-85C8-1E33F777E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96EDA07E-414F-4CB9-9B19-03E23D8C1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951D2BA3-2B00-48E1-85B3-E00ED0771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7B3B65C8-BD65-496F-B45C-9F90303F3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F20BF21E-4056-4EB4-B384-00FE6DBAC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A2E88EDE-5F95-4528-8BB6-9836893EE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8FD93956-53E7-4221-B467-6A1B955F0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5A3AB945-FDFC-4D3C-B30B-66BFB63AE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D0ED7270-FA0A-4331-B448-02F76AF96D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9DA856F6-96CB-4D0F-A8F7-57A13B237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99C81BBF-5181-48CD-AE4F-B3514C7F2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A347795F-54E6-45CC-A7EA-5FE09F2B0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57B11819-CD59-447D-8394-8E0A0C786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60AA6E2E-FBF5-482C-941C-515390827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CFB7B828-EC33-472A-891C-E4A245B38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84D6C9C9-15A7-4F3C-BBBD-E9EE03E51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EA7924F0-EA15-4842-A946-94FC38CBCA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1AE8FD56-B91B-46E8-A007-6C789A467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A3D44E27-7205-49A6-8079-DEB8783B9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511DC9A6-4BFF-4662-AF22-89DCC2041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FA3F7525-52A5-4F78-962F-47C059544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4CD9AFA2-641B-4899-94C6-CE499F592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418A835C-9479-4450-9489-BCF498806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64FB6ADA-C57B-461F-94ED-2A06EAE804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2B7881D6-BC0A-4219-9909-571803CA4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E9CF1ED2-767D-43A8-B475-1450711E2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7B694D9A-4D97-4BD3-BF4E-5A5AF6113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D92F8B7-28DB-485A-8582-A7FF9F9B8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AF5235D9-8905-4E0B-969B-377A9C5F6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91C5BEB-D955-43C0-B9D6-A3E24320A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C13B5592-3C76-4861-908F-CB0F85399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ACDE1D32-0E75-4CFE-AB6D-18C5A7DAD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332207B2-88AB-4520-8A09-CA948E631F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7A328714-7FD2-4ABD-9605-6057FFCF9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88EA7876-A2CC-40F3-B650-83E25C1DF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A52791B9-39FF-4144-AA45-9DD04FD3D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E87493FE-4FB8-40AF-BCBE-FB5164435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EF4135E8-F7A5-4FC5-9925-D46A3BE1A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EC2D0412-AA24-4131-ADE4-608184BEB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0CCBB37A-7F53-4D3E-A1A5-4D4FD1446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5DDF2541-9515-4787-AE57-F64BBDDF8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B50917B8-5B0B-4417-9049-B447AED63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F4C2FE05-03F7-4150-A49B-93092A7CB4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3B00CBB6-EF15-4E31-A3D3-465D45A4C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66AA2543-FCA6-4E3D-B0B2-20E05DB5E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2ED59397-FFF7-4809-BB69-60F86D1B1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0875A9C1-E2C4-43AB-BDF4-703725C78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CE3BD35E-7C61-4FB6-94B1-953958675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F29A7E8A-310B-49CD-BE59-7DF557F58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C5B7F952-C2BC-4F9C-AF3D-EFACE0470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07AB9BF6-8E54-4F96-A5C1-FF549573E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B6593A0A-A300-48F0-947C-DFAA61A0E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EEF28D04-2925-4202-9547-7FDC1E5FF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9DC1CC0E-1A21-4AE4-BF5F-C1A1EF8E6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3990BD0C-E1A0-4398-9F43-564F6C580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E265C534-D6DB-4880-BCF3-51326FE39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1B537C0C-D170-43D9-B793-B73BDA92F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60C94526-5333-484B-8574-3C6E0A50F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289BAC05-DE9B-4570-A35B-8DEA67A78E64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F05A86B4-C0F5-4067-B767-B6B72C026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AFB84F84-1663-42F7-8C33-140A01CFF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A5445F40-8B1D-4F49-A41A-7961B69BC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FC201C67-A515-4E7E-B7F0-0A26135084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5807B659-754D-41BA-AE13-187FB7D75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9D098993-1066-49A5-8D9C-0FE1CF0EE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8BFB3854-ED10-4F7D-AA8A-6C065B26D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8C4085E3-0D4D-40BC-88C7-5AD953A5B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B56E28C4-EF94-4BDB-A31A-96DC3E0B4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5D579986-1B08-404C-8E7C-BDC439CDA4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4D6C64D4-048C-422D-ADF2-D626DDDE9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7C4F599C-B811-4966-BC13-480B9910C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80982B75-06B4-49E2-B480-6D1EDC49F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D0235FFC-F8E8-47AF-8E4B-204E47AACA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A36D6CE1-2F5A-4A3C-A9DD-0497E4B54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ACFB325C-CEB5-4D27-852E-F86DA38BB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73DA4896-78DC-47E9-9762-CF8ECAFBD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38132617-1E4F-4872-ADD1-C55A45BDA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4DD8A919-CACE-46BF-8383-902B916BF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BD3A4B24-E0F2-474E-AC20-BC505F3DCE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BE49F1A0-688C-4056-AA44-0BFEE3006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CF5EEE3F-FFE7-4CFB-9270-59B3363DA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399F9C02-B7A4-4704-841F-5FCF65AA6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8C77B3DD-8EAA-47F6-9039-97087F3F8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FD26E003-A5C9-4526-B5C7-A80EF9149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347D551-320A-43E9-AD36-1536447D3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AAD86C66-B57B-4EB0-AA3E-23C12574A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98D08ECE-0DC4-4A21-B2FD-5B95599E4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45E97035-6E9C-4A3F-9081-FB90AA7EC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4C67088E-8C57-4C55-B67B-C94B8145B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39839A6C-52A9-444C-9E21-A82A40CDC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9E64F57D-8212-411E-8883-2BFF75BB2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BE6B5F7A-97AF-4FF0-9A62-C312A4C10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3D211924-7734-456C-AB7F-040908A72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2283E9C5-70D3-441E-9517-DC34A2CE9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FCD7ECF4-CF67-48E3-B7DB-5611EF625C08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551A09CA-C190-4491-A25E-E5C25895C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88614AF2-1AEA-4F8C-BC0C-F2210DECC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FC0E8302-57D9-4486-82EE-69943B0F4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410548EB-F150-40B7-A64A-6D0B39C47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75B81DAE-0383-40F3-9EAE-F1DBB8C94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D02693A1-F6BD-452E-AEC8-65EABA171D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BF84AA18-A6C6-47EE-8D1A-FD0EA7910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0855A62E-EA56-46C0-B2C2-60BC6D746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40585496-A4B4-44DC-9225-9AD1F2435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53970F58-E795-4955-97C2-62174BA6F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D94272E4-F0F4-4A4C-8FA8-CB6CC9363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3F7DF8B5-DA2A-46F0-A33B-AFB8430D8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1685FFAB-C86D-4833-B1EB-21E74319A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906BADD3-BC48-40E9-8936-8426DF570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5D875D7E-E5B9-4AE1-9769-A776D26EE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70EA860D-AE71-41E9-8620-350B3442C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140A468E-4A1A-4635-944D-00069EFB3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B9AAD43F-75B7-493F-9E2F-3BA7604AC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397A5B6E-E072-4633-A127-2F4089A246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B2155FCF-BD4C-4D8D-9137-F25A2DB3D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095C7562-779F-4524-BA8A-866147831C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BFD4CBF5-5BD1-4E18-985E-BC5FD4E4F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25736592-BC42-4A22-A358-78F2BA1718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F7F88CC9-B8AA-4D1E-94CD-90633D272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7BBA104F-166F-402A-BAD3-81D44D023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9BE5CC2A-D0D9-4575-842F-F50519BCE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2D25E8FA-0609-4534-8FD6-5ABD12651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CA8B57A8-DD30-4763-A0C3-99BEE600B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50C74DCA-DE2F-426E-B19E-449FCAB1C6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316D1B30-2EA6-4D97-AA14-80FFF735C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B7022180-268A-44C9-8A44-A30800FCF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59D9DFA9-476B-41AB-A2E1-3413259F8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6F489D4D-4597-4D9B-8F6A-CF5F78405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48F4BC7F-CF7C-4DA3-84AD-9CAB937A0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0C4294FB-5A17-4B26-AC87-D2A407B99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074C5CB9-D980-4C81-BB26-4F67600381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9A36C750-8102-4F91-986C-549B92536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A3DE712E-9EEF-488F-B41F-655EBBCF1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0A5BBA2F-799D-49BB-8CD3-DED82E4F2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2661C184-F169-4940-AE35-5D9EA8B1D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63741520-EAC8-4B03-AA2C-CF7EDF5A1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B4222378-16AB-4406-A282-AFE4236C9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5C001FB3-217D-4148-A853-4DA21EF77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17B10318-5110-405A-8476-A9418E0C5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5B0130AF-D8AA-4DBC-95B0-BE4C2492B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CF902993-7BE4-4A1B-A57B-46DD52040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76B9E5DD-569D-417F-B9DD-3515C8E901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97B100E7-A5D5-430B-BFC3-AF568F527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C75146AF-CDF7-41C5-BF0E-0574E8891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29D8B856-43B3-4501-A9D3-91D20723D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201D1CE5-E345-4E5C-8B7C-5D28E4CF8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F6431B7E-B31D-428C-98B6-497528B0E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ABFD0578-BBA9-4C42-A5D4-7CC9D7EB0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6ADDA059-0F40-43FA-92B3-43680DC7C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6DC9939D-6CF5-468B-A121-0E84A20165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08A6B0B7-31D5-4150-A199-DA32DADBA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4BD2282F-8FAB-4C81-8321-B0F2DBEC0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37ABA236-58D8-48B2-AAF1-6B541BD500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7FDF1A01-F8DF-411C-9D4F-F5FD8B042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668935C3-82B9-4B2B-949D-38B22FD98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FF3CA8DE-4010-4B1D-8694-5D917A012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132C46D9-F76B-4DCD-A9CF-F5BCAA508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CB8F0449-1C45-4ACE-987E-74D4C681F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6B3BFA9F-2441-4D87-A0E6-9B22BF850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CEC7E344-C34F-4CB3-986D-EAF3C044B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11831AD1-1D86-412F-831F-03DFC74A3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1B83E9A0-1EAA-4D2B-BB0B-219E01EBB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27298F0E-6390-4084-AD54-09440AA90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DB281298-AFAA-4C7A-9FB6-2180C1FCE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99BCA2F6-9FFC-4787-9D23-70754FC88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BF018F0C-1E01-44FD-B9E2-6B43B5032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6B276AC6-5F04-430E-B0D6-3A11CED2DB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6029A931-C6B6-4AAF-A0A7-51A1D8A10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F3F98552-0C67-4E54-8867-45362944F1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0CA2A8B7-9239-41D1-8438-3AE36312E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E8E09059-01D9-4874-A9EA-C345C13F0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8F2E541B-4E02-43EC-B313-4D4E0F49E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190B31CC-C36A-498F-ABC9-47131E00D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76FBC0BE-6E3F-4BFA-84C6-2AE60DB9A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5E75EC3C-1078-456A-9B07-99F5F1CB4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E300B14F-AB46-46D3-BB8B-9EFFF8C02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FF40C963-D3E0-486C-B01D-DE5EEC339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552659B5-82C9-4549-B7F5-276A456D8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1FA7CFC9-B1A2-44D1-A94A-2CD5893B8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720CEE50-5CD1-4A52-B96D-423FEFDBF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D2509B58-1E6C-4668-B08E-A65B27026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B3D776E2-EEC3-4DB6-8F85-F365C456D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008C9D9A-FA23-4555-A655-9CBA9C7D6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B84CB07D-11E4-4948-875A-DA286ECCA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E29BAB8D-4DCC-41BC-B094-144145F48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755576DA-4A06-4E02-9AF8-C10459318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F29212E2-0642-4078-AD1C-E5E6559B34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351EEDBD-039D-4E95-BBA4-48F3794FA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98FD77FE-8AD7-457A-902F-5886DB450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53372592-C951-4182-9B43-D8D3A530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A61FE09A-E66C-4FAC-8FB3-B0C7399AF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D3685ACB-FB56-4D6B-B428-4D3B1DA3B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42E49511-9C3A-4496-98F8-7D09418C90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1BB5DF29-9BAA-4710-92AB-95BC44BD3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8F3D40E1-793F-4CC5-BEDD-3E19DAF1D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4B9DA567-56F0-4C27-AB71-756BE6CB03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6A37B594-C950-495B-8382-9929FB18B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38DEEFCA-10DF-4458-AF2B-C3FD090DB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EAF2CE33-BA80-480B-93C8-A06366297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8C6D2485-108C-4F37-A652-7C92E01C4C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C3B0529E-5512-4425-8431-8C0F9261E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27566EA6-4C29-4DE6-9406-38CC34258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34777CDA-E073-407F-B8C3-820EB66C6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7E9D69CE-46C7-45A7-89BD-D226B072C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4F6DD998-AD44-4C29-840A-FE84A4A69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D8B35289-9207-471D-AE70-EC74F7A86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CF108EA1-CCC0-4F4B-8B91-DB86D5B1D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AE419752-8D1D-4D4D-A0BA-4300F6069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3349379A-7A5F-4DE3-9BD0-59832B7EA3B9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26F192B2-C8D9-48C5-A399-DF22FA9FE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8B1E4623-4FA9-44B9-8310-4F04CB65A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C6CFD5FE-61FF-4F08-BBEF-3A172C195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156EBA74-85FC-467B-8C21-7CCEB2610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62F5D20D-F073-42F6-90E3-6513D9709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BCDED805-2B07-42D3-A0E4-9543331BC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F1B2F1EE-C8B2-4C81-BDC5-EC21879A3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EF0D8311-554A-4407-AFBB-38B1AC7A14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2BC12CA6-64A7-461E-85AA-007DB1770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F7165053-C8E7-4123-BFFF-4F83D45B59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2FC291C4-6A21-4827-BB47-E9CA73738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6C909DCF-C978-4782-BA1C-13DF1514F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A9262AF2-B177-46D0-B9D5-6D8764A77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A84E2A5F-6980-4F42-A2D1-0AA70D6EE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9371300A-2D16-41B8-B984-1441016EF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A699801C-F902-4667-AE16-071704B73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678C7588-FEF0-4B51-BDAA-93521D3B1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D6F91BA6-22BC-4180-9EF3-9DF57F701E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A0147C9D-B894-412E-88B1-EFF8A8E9B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BEB5DA21-47C9-4DE9-A18F-3B030151C9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8649CBDE-1D81-4B27-9F67-339C2C661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1A3A6866-B50D-4064-AA45-B442CDC97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4B8E285D-079A-4A93-AFFA-AAA018440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0E74504F-34C8-4E38-8428-9F72F65B8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EB8FD96F-084E-4925-B667-31B52813C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9F3243E8-80CF-408C-A68C-406EDCC9CB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44D30811-0124-40F4-9664-6457EF181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A200ABA5-E63D-40EE-A9AB-222A523F0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F31BA3B5-2B03-446D-BDBA-3870051E4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6B97B039-FAB3-41E7-9FE8-BAB85024B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5FE73901-2478-4B29-AB2A-696E064DB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64C7CD2A-566E-4274-974E-8BD8D2B5A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0C4FBC55-2C67-4B27-91F4-E0FD11C2F4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932663FF-B406-4A8E-AAA3-A8D37093F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DA5BE0B9-2668-404C-9578-FA686BFE5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2E4FB4DD-1860-47ED-9441-30F251719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4908368B-DED8-4FCF-8F94-050FA5606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440A1CDC-BBD6-4FAA-B8CC-2AC374C71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0C8B8113-C5EC-428E-99CE-050D13A69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BBD3E530-BC61-4C09-9CCE-F5F7D49C2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EEEB8259-1307-4B64-9088-CBA26C6D6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FD7EC1C5-6C03-46D8-82A1-88700999C2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C9700ECF-EF2F-4352-A385-EF8A22CD4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519870A5-86BF-40F0-989D-746AEB6DA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24BD5132-4481-4E15-A354-3960A55FA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4DCFF640-3624-4736-BEC3-CA43F02E2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72B9AED3-8587-4111-A6FC-93A5CEE20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2BA1845C-8EDE-4089-A163-C2BE134C4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5BE8589C-8FBF-4539-B1C6-67A74A8DA4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9C480749-850A-4C57-9BE8-683451861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2DA05813-D205-40A9-B9F5-469529452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4DB89F03-584F-456A-8AE8-7A1BEA450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F3A0A955-A6BF-4E16-980C-70907E43E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A6C165FB-3F18-4EEC-8907-6C4ADAA9E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85C1AE71-3310-43E2-988E-A4F9FCD1F2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974B09C8-B39A-4880-9DF5-99581A016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D76854CD-F251-45DF-B94D-A5BBCEB44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7BAA7D2C-2C7E-4B25-B196-48A400815E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8CE75128-C54F-43CC-8C37-68BE4E33E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409F4A77-8232-4EFB-9C53-4C60509F1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6E8F3075-67F1-478F-BD54-221502E23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1EF9EA6B-D7B6-4988-89F5-81899DC63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71B8DF30-4DC7-470A-B57E-C021E5FDD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C59FA926-D315-4B56-8E34-FDA3DBC07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2E527D42-0233-434D-8DF2-B07B54A6E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DC0F7A85-C353-45C3-9849-357714453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5136763B-0892-44A6-84AE-A7E2AB496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872A3B30-A0B1-46ED-84C7-AA9055FD3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7C3FC58E-CD6F-4251-800D-BE7EC925C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6CCA1AD6-631C-40FC-B9A4-508192B46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E8E67E9E-734E-4F53-AA74-049DA186F0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B068A8DC-0F55-45C4-9B77-D7C90A35E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F0FC787E-03AC-4A98-A6CA-E0C5EA6901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54CA7E16-24A8-4F96-AC6B-1CB0487E0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2A038DFD-E9F6-4B27-BC93-C3C72329F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FD50BA24-9641-4405-85C7-B4A7E263E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99379115-ABAA-49A3-9389-5D543D905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6CB8D866-AC25-480D-8FF7-DB8B74932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4BD67004-B671-43F9-B157-F17847C74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EAE6AEA3-D0B6-4744-8EB9-3F57945A1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F3018325-F217-4AE5-A2E4-39C96F394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46B8F1B7-4FD7-4128-A071-F49EDBCDDD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D1859E5A-7D47-4EFA-BD22-BF25A940F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A72169EB-FDA2-4D04-9E67-596FA9079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57B5F4B1-E9DF-4C24-B769-5DC38B2CD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D83853B4-F96C-44BA-8C73-2332A7B30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058D3C16-707C-44E1-95F9-97EA10465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89DC7558-C394-4201-842D-73EB9D00C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BBA47568-08F0-48CC-9FA4-857BD95B3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47D90B0E-404B-4604-920C-1571C63DF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48CD391F-2596-4735-9E30-76BAEA62B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E10B7AFB-FA47-46AB-BE85-3D7C769D5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588B0130-EF4C-403A-9B04-68FA686BC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F3CB8D30-82DA-4F31-8837-288CA4382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CA8379C8-B37C-48B6-9B72-E98E08099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DBE2E08B-DADA-48FE-87C8-CBCC9A564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AC990BFE-0F79-45A6-B6B9-84484AD5B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366C3AC7-F18A-4E8E-A4B7-1BDCF26D8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C6F7BEC0-2FB0-42F6-A375-D89079F1A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303742D3-9FA9-4283-A77F-91AAC837A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0A6688F8-2245-4461-B6BC-8D234E81C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CA0F6F99-28D7-4A90-BE88-66AB755F5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5CE894AE-2A8A-4DB7-92E6-22313E908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A8D991DE-767C-4AC6-BB1F-90602B339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10516503-FF33-42FE-9C51-0AA6B5B5A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ED2DDEDF-A896-4805-84B4-7284FECF7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FC2BE0F7-17F6-4753-8477-F6E1C0359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57FF0010-BE87-4866-B1FD-AA1F5561B8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68EBCD92-7F1C-4428-A311-56178DC3A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7695C453-B896-42CA-BFBC-46662C66D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7BCCC99B-A861-426B-AAC3-AF704948D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D9B0C480-27D0-49C0-B6C4-5F0293117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02EBF773-388D-43B7-8971-ADD18DE2D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7F9B249F-CA5D-46F3-9003-CFD23F999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38EBE9A5-340E-430E-B891-31B478994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DC7DDBF8-077D-4092-92DE-0C4581C3E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A2972408-18EC-41F2-B5C9-FCB2EFEFC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95E4E96D-F7D0-453D-BBD9-3A23ED6DC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2DDF619E-0DD9-4F90-95F7-79AE389AB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4520E53C-2097-4C51-A049-37CC1F079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B92E4017-4B4B-44C2-9F4A-E5EAF3590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CCC7665A-80CF-4387-9E75-E17BBAED0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437ABC9D-1C4E-49ED-BA67-720260444A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2A294CD2-F5FF-42D6-9013-5F8BDB5DA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62258ADD-3012-4DDD-92D5-EE66ABEB7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AF26F027-E614-4835-919D-73047C8B6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CFDE05CF-518B-4DA5-9C36-3F702615D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54371056-17C5-40AE-9856-66BCC71D6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3773C872-E1C9-43DA-BED6-A17EFF049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6A06D383-B27D-42B4-967B-E795AC875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EF4FBC15-6934-4BB7-B9F9-D3BAADB42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F9A8A2F1-00EB-47F9-96BA-2DE18BCB0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3364718B-274C-4A5A-810D-B81F0DEE6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C03143C0-1884-4A6F-875B-BB1BBD04B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AFB74929-0B9F-4654-9859-BF1C9C92A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6E95AA96-5CB4-42A5-B406-95BD23E9ED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4C962E86-7963-4BD1-A667-8598E631D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868FC5FE-9EDC-4D39-A74F-A8FFB2742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A3F5C57E-E2F8-450D-ADEB-A0DD0736F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497E7A35-857F-4909-A079-090F2E99AD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BF1E7275-6162-44F6-8768-08B7C4548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D8F86385-2AF7-4AA2-87A8-A5DA91E63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8A916E1D-D9E5-489E-A83C-A1FEA5D28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36983022-66AB-401C-925D-71F6767B6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DA1F63AF-23CA-4B88-A991-035973BBC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DABAF3E4-257D-468E-AE87-00533014C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2C6D4533-7EF6-4B5F-8BD2-90A9DBCC05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FD2302F1-7356-4A78-A60E-1B3E55291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26317C1E-6A3A-4073-B91B-88A173D063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04CD11A1-39EA-4967-ABAF-E62134AB4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F0EC8570-3B77-4267-9E3B-FE352A6BE3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69BF9554-79C2-4D14-A8F7-22ABCEB60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75CF0C63-EF44-4A34-86A6-5A78A5F65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401F9CC6-33B5-4C83-8727-DA93063ECE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8BAD7951-959E-4516-B005-3C5AF8489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1729966F-90F4-4BFB-BA4E-E80717AA8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C1A5713F-AFA8-4A25-B127-2D590D4F9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CE7E5429-6BF2-4DCA-9C31-0F3090346E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25B97B7E-87F3-4327-BAD6-600817291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ECAB7AFB-E5F3-4C13-979B-D183DE50E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7B629699-D7EA-47A9-B323-0800E0583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9DF7A292-0279-48D1-9220-9D93384D2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5A4DDE78-3C18-4090-B78E-B0F1CAF4D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64C03F1D-3B4A-4411-AB2B-346BF56411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84AC4B64-5F0E-4D02-A8C7-C45CD2045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EF753FD1-CD2A-434B-9D75-99FF7D5CA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0669F0DE-0808-45FC-AB01-9E40EEB79A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D5E16599-E4FB-4627-89F3-B5B3B3C32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BF69597F-3A19-461C-B602-18493B77A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B9B9E450-AE3C-40E3-B4C8-ECFC27E40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CE0A36C2-9306-40A3-9564-83F825FF9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B1EC930E-AE0A-47D7-AFF0-AF22080CE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B8EBFB97-C501-470D-A47D-C4F016B94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E07562EC-1EBD-4A99-A94F-3087DCF85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EC4237ED-A661-41CD-928A-7D572279B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86834E38-0A01-4FFE-A3B1-654D4D89A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90A35D00-4B83-4E02-9E02-BDF60516A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AD085462-6330-42BC-B13C-B28040511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0A994209-0B77-4A89-8DD8-A7CE196BD7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D901833C-6F05-40CF-B6B8-342862C95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61694A5F-1025-4DF7-B2B8-34D4C7EAD4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CB5A6969-5DED-490F-BAF2-500187CC1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A46F7BC5-6883-4945-B21C-60BB9D95E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F0A00774-DCA7-4C7E-9D8F-A4520EC93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428FC08A-DF49-441F-AFBE-A5D1E1916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6F77DAF9-CB87-4C55-9EA6-65802A929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2CFB6B53-94EC-49C2-A714-46CFAAC995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A5A16475-B63F-4D2B-B0DF-37BFAA2BA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8F615D22-3DE0-479D-A504-E18AC53F2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4104C60E-8C2B-4535-AC5F-33E64F21D2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B283851F-490E-406A-ACBA-89DEE0F55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57C22D39-4E30-4422-B4AB-72D05AFA6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17CDE755-6553-4232-A966-71C3E46A9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99C91851-28D4-4426-9D15-2EDE811764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2CD5F6AA-638D-486C-B92D-E05A0D1BF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34B467BC-3D21-411B-BA10-0E56CC55E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AF965014-6B1E-4240-8747-5E4E6A956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BDBEF848-BCF1-480B-9973-C6905BFC8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23B1B364-CC64-4B37-B668-F033C3B91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C9B8755F-013D-4275-91A4-956915779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A63258D2-B046-41F6-853C-BAFDC34D0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87738FC3-6D60-40AB-98ED-19BCA15BD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143C62AF-4C55-4419-8D64-81D4E6B6B1A2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39FE0707-67B3-4CF3-8D96-3F8B18F74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73432B31-A7B3-4A56-A9C4-FEEA3C3EF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43E81BB5-2DAC-4590-8A71-DA37BAD54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9CB68B54-C022-46EE-8CB0-CA53ED6C3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BD44825D-7DDB-442E-BB18-790DCA5E2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D31D6026-5F5D-4DF0-880B-23142C3F7E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6216A121-20C7-43BF-99B8-64EE063B5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3510EE07-8491-4623-89FF-D1C8717BA5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D72E0A38-7148-4A94-A380-C896ECF68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FAC41C49-8932-4E18-AD57-986C9D74B5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A19B2134-D053-49BC-A74A-6375B9910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68F4CD6F-55C1-4BF7-80C8-175D5686A8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1A59233B-949D-4BF8-9F3E-57C5FB4F5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29266EEB-F70D-43B2-B5CF-E42CC0745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5D6E1F2C-1EE4-4483-8B98-C2A3A8F14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CE6C724C-AAAF-4EAF-A4A5-3A301BC94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FCF2641F-A23E-4A89-A436-4CC3D1EC2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3FF594D9-D26A-4995-9360-AFE3F700DA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094F2BC1-2A7C-4C3A-A8A1-EAC16A29C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0FE8DA1C-3569-4224-99AA-7B0603D78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7D276F6D-7071-4BC1-A391-EB52959ED5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21316FC7-483B-472C-A41F-4626EC0E8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DB2689B0-BE0F-4221-B9D9-42D5B6AF9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FA880C20-C83B-4736-AC44-675D98462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AB310495-2318-4839-8954-34A858C7DD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FF4AC6FD-4C97-4CFE-AE67-342D7E24E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17D060F5-26E1-4080-9722-B10B82809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9F2547DF-A36B-4D2D-B364-5AB9DEB9D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666F3F1E-7C22-4D89-A0FB-9D7363B1F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06D3C157-4D58-4C19-A07C-28E5DA2CF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FFF2F162-2F01-4F05-9242-96C07BD9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CE38AE67-0695-4B4F-92BA-56794A8A6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0C8D4AAB-2539-41AD-963B-B89CC7856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F5C87612-E46F-4188-B643-EBE1ACB83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7A1EB6A5-0588-4B35-A5F2-8741F607B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C78FE631-9E5D-43E7-A6FB-62EB971B3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277917C5-5F7E-42D0-A93C-01DD0AD01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B13AEAED-C03F-4B1D-8CF4-D155BF8F6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5C80F18C-7D80-4F1F-9202-4DFE9B0C9E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2AB2B560-2DB5-4AD5-8D44-6761156A3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29C0FCF2-9C31-4B6E-AAA3-C9D7DEA93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D658F3E8-AFC0-46DA-9A99-C3EC29E91F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E17DA66C-202D-464C-9E3D-BBA6F494E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49101288-BC73-4281-99E9-DC139DC0D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D803F96A-8BC6-4F54-81B3-587171504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1E643DE4-E42F-469D-AE83-EE084B5CB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BC4D0B34-205C-4AFC-AD3E-41D9526D6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494068E3-237E-4E73-831C-8F0744BD2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C1BEE334-D5C2-4710-8C8D-BB32B81B9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BE2B7041-E9D8-4B00-AA3D-CC9E95F0B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B196275D-3E19-45B2-BDF2-FA15E20CD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67D8FB92-F4A1-4622-841E-CAE8A2A035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1D35FF10-2B4D-42CA-B79A-B288FB1A2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310A078A-1BFD-49E0-B376-2CF471802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ECE06966-F1B6-496E-9B7A-076FE7813A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85B4F5D7-A18E-4061-B18F-8E6BF4B89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B46EB5B0-EF7E-4F90-BBEC-CF55A7CC4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DD9D8F7F-BF1A-4B21-A07F-45E48A019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1184050C-C84D-4593-A6AE-332B291998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56851994-748B-444F-898D-8D59E196D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0BF18101-BE27-49FB-8A6C-DBC7470CD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D9799091-7410-4307-8B19-D81CAA24D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EA688D0F-EBD5-4E0F-BC55-CE08F86E0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04CB4C11-9009-419E-849B-B5E01F6AD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ECFD4DB4-E33D-4FAB-9F4C-95FDF7BE5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72B94C83-F87B-4387-847C-A3D4BA1FF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5EA2B81A-20C1-4128-AA81-6016B4F7F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219075</xdr:colOff>
      <xdr:row>3</xdr:row>
      <xdr:rowOff>19050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7D6C6D08-C0C9-42DB-B30B-1A7916FC7A4F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76225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D703F4AF-72C5-42C1-B627-688D00C90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E862E31D-3FAA-42FC-9137-104B373CF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3A2E111C-60CA-4DD0-A447-09512AAA2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3768E1FC-C1DF-4F85-8D06-8EDAE423A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26433D8E-CF33-4FB8-8590-C53A33C1F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B4E4248B-F1B7-4F79-9C72-E501C66ADF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6F1B1069-7D0E-4901-B760-0BB8EB6D0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2F47D00A-ECAD-412A-8C81-5E7F5AA04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4106CE17-1B2E-4879-81D1-A0796A199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52560A1E-C56D-4DE9-96AE-929FD0D3C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3C02D2DA-DDCE-40F8-949A-7B10B40CB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7F576D07-824E-4279-9EF3-A366D8AAF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206526A3-953C-4F18-AC62-641DDE12F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38641BA4-962A-4C4B-803F-C8AFC59D8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A41164DF-223D-4BBC-A066-2D294D183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F3D01D50-6E57-4F05-B1D3-D088CF156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96FF0861-05C9-4501-AF07-484053422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72B3834C-E9DA-434F-9DA2-E0D8AFCA8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99FB930A-DBFD-4291-9B0F-9992BE384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2D0972DA-9712-4B9C-9718-D8337E728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7B05D2C7-66CE-47BA-97E4-747A006B4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7B54BC0A-EB27-4B9F-A47D-7A6BE705B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BE773A3F-F483-4CFF-9BF7-5AEA235AA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D48A360A-7C68-49EB-AFB9-3C510F91A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7743B344-3C67-41D3-8061-56E3C5C33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1DCCCB9F-66C1-4A69-86DD-1F9377F3A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A3427F54-CE99-428C-8B30-365EF74A4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224737EF-6E40-4E78-9887-1A9720AC8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1B2C27F4-FDCD-4B85-A1E2-8F7749018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F0025F34-BC8B-46B3-847F-14B1BCE9C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9CE56E1C-A547-41A4-9046-D2B54CCF5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B3A60A5F-CF7D-4B88-B47E-8CBB8E85A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184C8DF2-1177-4E94-8538-B034B8132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A03D1C61-B449-4119-AA0E-EC5613EAB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E6D11C71-E38B-4244-AD8E-58994FC46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39E7327E-BD0B-47FD-AF6D-03FF2CA99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9A12C86F-8302-43F8-B06A-BF4C3F9FB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F2610EA9-1043-424C-9B6B-A5A51736F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A45D0FE9-4DC2-42E2-ADAF-1D6D52426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090CA92C-B793-4E46-9299-032422ABF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21A438CC-0CBD-4DED-BD12-602FD1DC1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45EEBCCF-3809-4ED3-A888-94CDAD679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BB5A6092-66CC-42E8-9312-9AA510AB6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BC69AAFC-53A5-44A8-BA5D-CDDF7BE10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15AF896B-A4F2-487B-BA5E-C43920CE5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1C37514F-D1CC-4761-B00E-0A6C98493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7E3354F9-69F8-4A20-964E-8E7AAF301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9ABE30CA-A8E1-4CEE-BB3E-7958BAEC6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2F356AC4-F60E-41DD-B4D9-2767754EA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5A2A4343-3ED5-49C8-A120-4C8271C0E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23AB3A19-3689-4F38-9E6D-C91E7272CB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2B0E91DF-D1B7-4A8B-962A-B1B463183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D8B9EB0F-6964-4918-BC9A-6F2BFED94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F85887E4-CAF3-447C-99CE-2C732AD41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D296BAEF-421D-48E9-B315-A059B05720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D7071B03-5F0E-4247-9387-D4FDAA56E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C96C5701-B0BA-404F-83B2-336A69FBE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6F50B830-49B7-444B-B5A8-F9F88FF69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0500CE89-321B-4178-965D-1A4621DC3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F2DF9339-B90D-4FB4-83C6-122D52D66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E5BBFAEC-85B3-4A78-B945-89F734D200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A93400C1-557A-4241-8C8C-D500F9E94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A81261AB-88AC-4B95-B27F-C42090A3F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254AD293-C49D-49D4-8A91-1ECBEB89B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B5745D4B-39FE-4FCF-8F92-32B22E5C5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90197C5B-7295-4CDF-AA2F-95B7CAFB8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55139E33-2BBB-4E05-BE10-8D8C5831B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DD6F3974-D8A0-464A-9EB1-F58EAD24FC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49AE9A57-2B0F-4E05-AB3B-26259AB35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6C2D5C8B-7272-4799-B684-5ACFC3F35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28867322-35C3-468C-808A-EAA26AA88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6EE2717D-F2E8-423C-993C-8991B8ECB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BDC793D5-6626-4F64-B18A-4864AFB4A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66613325-4386-476D-AE5C-EBDE1A56B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CA2B1967-EECF-40AB-91F0-8E67C91B5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46EDA4B0-201A-4DCA-9E91-91F337F0D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0A09083F-BB39-4EA4-8377-CE159887F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7BB55F60-F4B3-4FCE-B07E-C5BE8F13D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25B97F93-2B94-4302-BD40-EA2DF1B0D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2DA549F7-B9A8-441C-87C1-1F8CB3FEE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6A4F79A0-B6B6-46F2-AAD3-32D7BFBB1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A597B687-1AD6-4F12-8A89-464D7F9F2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64139A62-F599-4759-9B49-BAA7DB4EE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E0523797-1F5A-4496-BF04-827008ABB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78C7A236-66D0-4130-A770-B033828E29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723DD244-A7F4-4BB6-BD64-BD04FA036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596B0E4B-90B4-4691-B751-E96D68DA64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FEFC0B97-045E-4D11-97D0-7722037BF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6CAB7AB3-5620-4AB0-8DD6-E0EC990EE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FD52B94A-4B3E-46D7-B0B1-BC9AEC877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2FB1B33F-34C9-4D81-AB6C-EF594F12F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81D1F9F9-6C18-47A5-B0B5-ED4404C7E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BA4F0CCD-9606-4FEF-87F9-C0710768F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5A02D853-AFD7-4214-8986-E4F4A9C14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66B885E5-B946-4851-B813-E57B71C02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C916EF76-E2F0-454E-BD08-4FD0B42D93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437E9EF8-A248-45C9-A9B5-5796BF7A7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10557331-7307-44CF-990B-EBED096B8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5C3FEBC5-20AD-4A83-8E22-B8CBE29DF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47D5B0F2-69C1-4787-8C90-8908FF5A2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233B3AE3-5B6B-4EBC-B6EC-AC6F6C91C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D2F8BDDB-B43A-41D5-92ED-AC4B0E895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67D3F43B-F32A-4DE4-957D-ED96CB443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E8F0AA02-B28F-4A29-AD31-DBC7BD846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1CCB8B83-C21F-4B02-AA72-30684E543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779DA541-262A-4955-B092-FBE50A475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D2DE846D-2C49-41A4-80A4-A85DA00FC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876A6D2E-FCE1-4826-AADA-E528397AD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9708A923-DA95-4FCB-95E0-E7FE34DE1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9E660746-D227-4D4F-B56D-409D74573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76D875A5-2BA5-4093-96E2-9652182CC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C31F9FC9-B9B4-43C8-AB6E-116855C77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413CBD12-8E4B-4B44-BC21-0CAE4DE3C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C97EA2F6-F58C-488E-AAC4-EA1844A01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DFD27E51-55F5-466C-A3D1-82EEFB666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E524C0E4-1359-4637-91B5-F5A545FC9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561EB85B-FCD3-4F58-9A2F-4862B4D68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322BC61A-F33D-4DC4-8DF3-629B95859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9F41BE00-FAD9-4F91-9688-20DAD3F9F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C13143B1-D1D3-48A3-AAD2-319C15F10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F39C15C5-16ED-4179-982F-11BEEFE2E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4B56CF53-B6D8-4300-8A05-34FC88DCB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8B71F2F7-99E3-4D17-AAF1-09D189B63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6849C889-02EE-4EA4-953D-9051587F9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78054317-3849-4EB1-AC03-E78B8F147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B00CDA38-E940-4E45-97CD-9DEB130C2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DD23A1A2-0B12-441F-9B0A-50FD8C8AB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6BFF8AAC-529A-418B-BDC5-47D8ABA8F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3EFF8516-F137-4F5D-AA5C-8A6A8EC1C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62C65822-60EE-47CE-9D91-1F61E71C1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8B0394C6-9879-44EE-9BEF-47509DD2E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6C6218EF-C67E-4512-B7BB-F02AB6F52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5DFE4984-3EDA-47DE-971A-7F2760E32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070AB38C-12E2-4C29-A40F-44958CB071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10D4A292-5043-4105-A65C-E6A2731AE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72016611-68D8-4CE1-9DD9-2165BD508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DF5A5826-8762-4EB7-81C3-EF6959022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09BFCD1C-3F2D-449A-A1C6-12E1C8D34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BEA42313-85B3-4F84-93C4-B60629670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5FB1B307-65B5-4134-8DED-2AD3340D2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75B567D9-1857-445D-A644-24DD1478F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4BD6665F-A987-488E-8138-D42328C19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E4DAD953-1CC6-432D-A253-82D7936C3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D7A2992E-A5E4-4638-BA2E-9304EDCB7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A300646A-56B4-4C03-B9C0-F5CDD85D2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9D09C9F3-55C2-4208-9CD0-7BC6EC617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706EC52D-BA95-4711-AF26-3CEFDAC542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D47AEEA7-EB13-41D6-A599-4009CBAA3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A08285FC-2936-4A95-A91F-606EFF768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1CFE6951-8B21-4E6E-B7C2-EC3EE0B76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91FDED8F-3E48-44FD-AEA4-3A55C05A4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33CA8947-F6BF-4EBF-BA61-84584D5D4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877474FD-7F89-4B2C-9523-BBC2EFB6B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54F76D4E-9ACE-444F-813A-DFE6DABD5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809742A6-0FD3-45F5-BB01-B32D39600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19EF8DBE-6635-4989-92AA-89EA0121E3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230F0DFA-07BF-4111-903F-EF8683D7D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A28D11FA-1474-473E-8F2D-E8FF4D31D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7305BAAA-7024-4308-9B0E-378EA843E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55AE90C0-1AD3-4E5F-9FE9-9C741DD32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7499E13F-96AF-4A51-B736-6898620A80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1E583B22-6D78-404A-9C4B-0FDDE8AA9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2C6FC64A-A8D7-4625-BC95-5933E6A63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02A88C32-0D50-4FDF-B05A-02B392A39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9D51BEAA-97B5-49F3-9897-A6B2B29C5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92AD22EB-4B24-46A1-AF60-EF8A7881D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6AC31E2B-928B-4296-8458-18EBD7D82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CB24D1A5-9F48-4467-B449-5FC5894C0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AA28F3C8-B1E5-4D86-828E-8906B89C53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C3DCD05E-42E5-46E0-B331-55D74FA74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EAC1BF14-527C-41DE-8F44-64D1CCD81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55121138-2C95-4B45-98AB-37D1BC94CC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2065B442-A275-40D0-8394-FE0481CFE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EE869001-E4D6-45CD-924C-5836EECEE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C68B25AA-2968-44E6-A177-3F5891AE7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DD1A3755-7B59-4DB0-9B77-2B1C2A65F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E3E6F645-E9D7-438A-85A0-6A4C77626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263DA12A-4D9F-4418-BED6-00C715DF0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F40F8C79-39D6-4879-AB15-BCDF66FE7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64A62028-83FD-4E48-9DAB-4883149DF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30FE241A-2103-48EF-B2E8-C277F8060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225AA194-5413-4CE0-ABD2-1AED9D3F0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FAE113E8-E780-42B6-A8B7-CEEF00A15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41DEFD46-C921-4BB3-9110-D9F627FA1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49D559F2-9B8B-489D-B4CF-87EDF03E9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9F5D14F8-6D1E-4E42-8F3A-DE49AA17F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2B6B8948-5E5D-4D22-81BF-656D80A3C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1808D708-7DC4-4A5E-AE62-3E9792EAD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9468BFDB-4A41-406E-A9E6-28B651434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79CB5128-7F18-4CAE-8B6F-CA03F2941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08D84D13-55E0-405B-BBA7-DE7117661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89F1F1A9-4BB6-417E-8FD6-3BB7D213E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600B373A-A9F1-4423-A6F1-9BA1914B1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19540654-CDED-4CA8-8CCD-B7F6FA25D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3F119928-52A7-40C7-96C7-F5DF894F9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7CB78C80-F15B-4501-B2FA-CA609B836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487570EC-7851-4700-9D15-36C7610B5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73608993-7279-4591-810C-92A2ED25A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536861DA-1FD8-4D8F-8796-C3EA9026E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295D25C2-A40A-439E-94B0-280D54D8F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75EF5A48-9806-4631-B3A0-45D3D9590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4FCC9CDF-CBDB-41F3-A595-61B77221F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9D381A1A-504A-46C9-B88E-1CFAEED37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B655D8A4-6A88-40A1-8164-EEC52981F3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517FE4A7-18E4-4674-8EBA-588259064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FAE3497F-571E-49E7-98EB-3529CB2189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76B8FA97-EA75-4C86-B8FB-DAF1E0D97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711B31DF-89D5-4ECE-82C0-9CAA68B6E8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82BEB40B-9A96-42C9-8D8B-4E7A296A1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A86FE196-473D-4FAD-830E-49871D19C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76D526F9-69CE-495A-9EBB-92F606B20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1C3B524C-7327-4CDB-ACB5-2F1AF18A3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C2805EB2-754E-47C0-97E2-A30AD9924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8DC9ED45-8C11-48ED-BF79-A2633DAE98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B7DEDBC8-7461-4AB9-8358-983FF9331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AE8B4C42-62A5-47BF-A837-89222C2D3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2F917201-72DB-41FD-AC9D-4A4D00891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D2239ADD-4492-470B-9A74-1407BA82A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0907B73A-3F3F-4002-9BBF-95D5BCB6B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681BBA69-3A04-4397-B00B-9ED2419F2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C4E9C49E-8811-4508-9178-3D006BDE2D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735AE11B-CE3F-4CB1-A7C8-DFE4E727D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3D67D309-0573-4C57-971E-341736B6A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7F498F71-A97C-486C-8CF7-7D5B6B653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C3DAAE5C-396B-4FC3-B7EF-359E169B9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42EFFC51-7F6A-4C67-B3C2-5DFC0F6EF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BED5B786-4105-40E0-BFB9-680EB9222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6FC6579B-C933-463F-9852-B70BE0C34C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F99E587F-DA68-4CAE-A4E8-FC51DB7BB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AE7D6E89-E25A-4BF7-9373-F54CFF61D1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B14A660D-F77B-46CA-9637-F572E26E0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BFF34F8C-BEC5-4E39-9EA2-06C733578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809C0E2A-3A8B-4C7F-A71C-2D01D41059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C039E697-6552-4BBB-A864-662F2EA30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61843FFC-3E2B-41C2-9D27-FE3DA56370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1F86AF0B-1FA3-420E-A2FB-8FC6CA29B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FC12D48C-3547-42D1-A93B-C8459C23A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A0993BE9-6A87-4AA6-8AE8-EE233C1BA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7E75FF44-4826-4AA5-825C-B902D0BAB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74DA23AB-198C-41AB-8C5E-D4F8B621F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59BB1504-A69D-44C2-8DF6-8A53B7458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E829A51C-CADF-4195-BA3E-FA3256CA8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2AB395E0-2333-44C1-9CDD-7BF8F307AE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28B5A14C-A4FA-4E6B-89B3-BEFB4155B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7FCDBC45-7FCD-446D-81F0-1EE467B72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CFC6F454-06C0-4148-BC15-28C92D48D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A92EB0ED-6EEA-44EB-BC9A-FD5498E6E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FB64D73B-D296-4CD9-9D59-70CCCC907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D6546E28-38A0-46E8-8262-B11FCC994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11034208-7A14-4266-B049-CE09798AA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ED289232-6C14-4B63-AD16-58D8EF58D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AFAA115A-83AC-48C7-BEF8-BAF56AB10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17ECB121-B928-4E18-9FE5-754348867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67F7CC98-34D5-4320-A0DE-98F061FD7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F30F12F8-93BF-4A69-A4A5-DD576A6F2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B58D828A-A51B-48AF-A4D6-B98072282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377BF0D7-6B45-4CD0-B6F1-2375CA221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14B4404A-D478-4F39-9B54-E7644F670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7FFEC0AD-FD87-4B57-92E7-C1CB2EB77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548BCBBC-736E-4822-B32F-50E11FC75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C0D43A55-E572-4DD1-AA1A-2CAAF623B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8FB8CD21-1413-4905-91E3-A9B071D0E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5A0C8533-0F96-4E47-A92A-D0F809286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584A3533-701C-4DE3-B963-850086666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FAD05814-1BB4-4738-ADF4-28DE01C1C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226582E6-5094-4590-9651-F558246C9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C96EAB22-E74F-4915-B4D7-7E680A223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866C3182-C2BA-45F1-99D2-53AA1D967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632446FF-CFAC-42B2-97D5-F64C07F36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BDE395CF-27C8-421A-AFF6-E718EB63B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3BDA1D42-3EBC-4247-8B15-9B5FDF620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6E52A727-657A-4D28-AAA1-FDD2210EE9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E75A3710-7CB2-4573-BD99-5FBAEFFC0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502B7BD1-C957-4039-A16B-C2522E092A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4DC13273-ED16-425D-AE31-8C25483C5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3AEDB556-5C1F-4030-AAD9-D52FB350CE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CD52B9D2-CD78-40E2-AE21-15AC136DA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9F493096-1E8B-48E6-94F6-56EA1719C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597F7D0A-153B-4F67-B52B-2381C4375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40A3B40C-D145-47EC-9D4C-2D6B34419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7A7EBBCC-FC93-40B7-ACDB-911EAC2CF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A1E7D0BB-DDC8-4799-ACEF-9C6093A9B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AFF3BA3C-2981-4C8A-BF48-B88B2D7B3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62F610A4-C164-47D9-B6B1-FF25A7898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E36203F9-BCE1-4628-ACA7-227651167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E5193D1B-2EF2-42E6-995D-12CB8DAD9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56992B58-A3DE-4493-9B5B-97F5DDE9F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F292379A-4856-4A75-A7BB-E6F7ECBF5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15C94888-56FC-4D4D-B98E-A3BADEA79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9CFAE35A-CF8A-4FE0-A24D-B98691CA0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60FAE8C9-E7C6-4E5F-BF7E-082CAB7E0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85665DB1-A491-4853-8EF3-9BD93E82F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958403EB-FC44-43D0-A93B-5C48CBC83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D37D9B1F-5430-4517-A245-7AE316B24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B670DF03-0AB8-4524-A530-C31BFA729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D63AF7A9-C773-4E63-8D56-1B8306D54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38D0FEA7-134D-42B1-ACF9-A45B8E072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99B076A0-9D18-4355-952D-B409455E9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0B4FC880-625E-4A9A-99A5-3F87E291F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55BC7803-A915-487D-AE80-E44ABBC71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462F9C94-58FC-483C-BA6F-3EF60EE79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2159B0AB-0856-4563-A192-BF3709E49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1072A94F-9D59-4446-A2E8-E10FCAAC9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2DC34F65-8959-42FA-B955-3CE49FF6A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90ED75C1-E005-4A27-A134-73DE9066F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594922A5-F663-40CF-8314-EF19DF266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58C0E359-05C5-4301-9621-BA097DAA7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6D2E839C-1E77-4946-BBAF-294E2FBD6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E444AA15-8226-490B-9642-AAA3FA410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6CD67C02-1110-4808-B312-DC33C5450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13A9351A-032E-48A9-B54E-089CFCE56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06811EF3-6AF1-4154-BA19-D4C053BB6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D298AF76-0756-423D-84E9-F905ED9117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BEA9E031-D4E9-43C6-A384-E3C1EDB95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709B3F74-6FD2-4102-A9D8-432A14E81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C2F9AAE4-CE83-40C7-944D-5B09038DF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CA482BD2-51E2-40AC-8CBA-80CF037CE7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99BB3801-0717-4CAA-BCD5-204FFD936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297DC21F-9CC4-4CAB-9009-8B364314E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9B4A9DBC-ACB6-45F0-ACCE-A785AAB02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3C389410-2E6D-4131-858D-2CECA8670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D6249B7C-A513-4579-9566-8FA4662D4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06091789-0CA5-43B9-95E3-4310D8AE03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6FDE238D-F794-4113-AED5-075EBB3C4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C7C9458A-BCBB-4101-BCED-736FB3D1D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9D4A9A6B-2629-4578-B4F3-E2020920D6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2FE2FF77-73D7-46DB-A071-D29BD7316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645BC5B6-B8DA-496B-AA16-CF1063302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3DC4769E-1FA7-4669-B4D8-1110EA4EB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8A8D76ED-9C36-4E39-BD6A-2603A86F9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C7AC6F7D-4185-4746-AD2C-E36799417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CAF161E7-9FEC-470B-A04E-A14C2BF39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14187B69-B745-4CE7-8A4A-D9497D9E0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C975BB56-088B-4107-8355-82A5798A7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24265732-1019-4FFF-B3C7-8D6F028C3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4705718E-316A-4B5F-94A2-E65848C4A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DB669DCD-5B21-4EE8-840D-42C286F91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F1B61B15-423F-4BE1-A812-911A642F1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D3BB6D33-AA18-447E-A862-5EF41CE98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1165FF69-03C5-43D7-AD58-484BA7108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9BF8D400-5C84-4E95-AE36-50EC4A3C2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84ED1DCA-6D25-4B79-B1F0-FA2E24D8C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2AD9D542-623D-4A69-9F8E-BBD94E970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3E8ECC3A-A9EB-4948-8067-B51E3DB44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83FF23C0-646D-43D6-9136-2779B5E6A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236C9348-BDEC-4B2E-8259-D91FF9896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34314ABC-AD0A-4A77-AEDD-BAB181CE2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95B8725B-C69B-4D27-8B33-DA703C31A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6BD4B8F4-8558-460C-95D9-552ADA53CC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CB8228EA-E909-4B10-AB25-5676E78CE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F889DDBE-4EB5-4F3E-BAB0-2329287FB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B3846445-1280-4121-9734-F9D3E2F2B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A19E11E9-2687-40A5-990E-94FF72EFC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E036F0D3-75A2-40E3-B1DB-C0B0E2203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AD1A8AA0-FD19-4F46-8C63-0D4605F166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3B8A70B2-40A8-41D0-9834-629612900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20F05C8A-E70F-4632-BE0E-BA645AB2D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85870C1A-E546-489E-B121-0EE53297EF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ABDE0731-4995-4D12-88A2-F17B1383E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0B505A22-CC44-44C3-BFD9-0D94C73BC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937AB996-D745-43FA-9581-3D5BB4080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ED29EA50-AE8D-44E2-AD6F-FAB395F3A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D5DC1BB9-DCEE-4B43-87CD-533A8EE79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4EA145ED-F6B4-4331-95A1-C6A128E25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D90F696C-B48E-496A-9DF6-69F10ED64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3CFB9302-14EA-468B-8761-3437130CE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9A7D15DE-9B52-437C-8AD9-85D80B618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F387F44C-F41F-49EE-8264-96711503D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F475AEBC-A856-4FA3-A30C-5A583ED7D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0C39D9D8-6B3C-40F3-B74B-474D2A54F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FDEDAC50-ED7C-45AD-926D-A0AF44AA3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F6E48A3B-F13B-41DC-B98B-233E3D7BE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703F8057-77E5-49D3-AA9B-105B504BA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F6D42671-14C1-4AC5-8587-6308F47CD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E7E012AC-FD11-431E-9E38-760BCECAC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F26A950C-2C66-4CE8-8637-DB6DFDD35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AAD67C4D-16E1-42EA-B36C-74F37F6CA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010608B1-CB46-4AA8-A440-C9EBB2C78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30F94E7E-F42A-442A-8EB0-51D601E33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DC8D2E46-BE68-4B17-B9E9-FE4E7D68E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A1B14247-209A-4AB0-B325-E619D82E0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3CF3372C-9332-4CF7-8D93-AE8C26ACA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C00CB175-CE9D-4F20-807E-1D10BB871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4769D03B-B059-43FF-B30B-83A5AB5D4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87D5CACF-8CAD-4395-83A1-1B7517832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92ED96FA-B37D-4B2C-BF34-08BB34334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C20E5B63-6BA9-4704-946D-6C2CD71DF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C5E05045-F9DF-464E-A8BD-E3E028B7E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CA51A55C-06FC-4893-91AA-210E8E4C0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EB92DA40-3263-41A1-B381-055D2916D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24C6A37A-2B61-4EC2-ACE6-25C340C7E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B76960D5-F351-485C-88D5-821EA6E177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C892B2AD-AD32-4EB3-965B-ECA1B90CA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2F857DA9-98BA-4614-A31C-BB8E9E79E9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3036F638-234F-4003-AF1F-D20F70BC9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32C0758F-6F83-4AE5-9BA7-E70DF49B1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18416EA2-08FB-4EDF-BD08-507E304D9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68B2EEC7-43D2-4BF1-AF4C-9E9691920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25D7C5A4-7C15-412B-B480-4D6DA3301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74A447F8-0E58-4B49-9299-0E253CE44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EF3BDAB7-F27E-4641-BC2C-956A44A9D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F4E8873E-A3FC-41DC-A86D-1C78651BA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1BD3004C-D729-4E4E-93F1-201CF7EAE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1DFF3C88-FC55-439B-AFBA-B360E7094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EFC96F3F-5486-4DBD-83D4-21287794A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9514C775-29F4-4440-BD5C-C89A867D1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819D2E9A-01E7-42B5-9F71-70C2E0886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543CF3DC-4C1C-40C7-B9A8-C2589645C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5740BDAF-089E-44BE-8DD5-4A53E16AB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3E82407B-652B-471F-97CB-729FBF031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F28BC4F6-DCE0-4B6C-804C-6255875F2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60D75F53-93EB-4275-A2BB-A14528721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5DB1337C-4945-42FD-B349-C4FBFBC6E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CB671C1A-1501-4C7F-BA08-FCBB1E1F1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EAF040E1-21C5-4F3C-8ADE-7828CD82C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630879D8-EF6B-4FEF-BC68-809A4B7E06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3B73476F-C3F8-46F6-A1B8-A31E78CDB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E5725892-1DC1-4B27-B1B3-420DDB3788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5E087D25-240A-4112-AC9C-82639E6D1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0B623746-A10F-42C5-8765-26A0B0EAD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1B39BC3C-9F60-410E-BC5C-923DFB08D1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2849A277-3540-4E9E-ACE4-7B0E6FD5A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8AA0AB1C-F9A5-4EFC-873C-9CF425760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884217AC-43AC-4E2B-8BC2-AE58F33C4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3F311CDE-42ED-44F7-B3BD-E46A91FA9F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AB1D8788-B5EE-4E35-8464-78FE644F0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F9CCAFE3-DA74-43DB-BE48-1AD6FC11A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CD7C34F2-805B-45B1-80CF-073F4D9B2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3B480C46-1F18-4A60-8A48-B6AA829CD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E877211F-0188-4E17-BEC1-5D83387C3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912CE92D-6076-4853-9399-DDF5C7521D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46FDA3EF-B045-442B-B5DD-43AB51802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B8743BCB-C617-4B51-B6A6-7AA8C6168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B44730E2-8024-425D-A672-786D9C066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B1154BF3-B969-457C-B00F-FEEBCAD7A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D1E813B2-86D6-4EFC-976F-399508AD1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BFB1C7E4-F98A-4097-B35C-1FAD4E232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E5B1B9B7-4229-4484-AE29-8AB25E6A0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E31E1F57-F71E-49BD-A2E9-7E9AD89C7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1D170B1C-6AEB-4D02-AA53-E337DFF9E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933D79AC-77FE-42FF-9B68-A540ADAF0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D8450840-A6DC-4A6A-8013-E0FE1EA4D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460B7D43-834A-4FAA-B060-5AFE9FC4B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BBC27BFC-DA61-490C-8ED3-F97FEEA48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55ACE4E3-3683-4DC8-8890-D3EE387CB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851DC8B9-F64D-4FC8-94D3-F8F087334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B41290F9-2770-48DE-AC69-F8FE53768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71C25908-FFA8-4D48-87F3-554974CE6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BA3B9915-94D0-4E0D-878D-269A8DE0A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2E4A659E-FA18-43B2-B260-823A3C398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5D2D3FDC-BBAF-4CB6-8487-0EE94F00C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9CC07F3F-8867-4225-B1CC-F0CA52D9E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AD190DA3-F008-47AB-B2FE-84E158D0C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53AAF658-4A9C-459C-B040-8DC82919D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B424782B-6371-4AE8-8068-40178C954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794DF3CB-4431-482A-9368-D70C4F945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78B82D7F-5B4A-46BD-83F4-5062A9CBC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A359A861-1234-40DF-BCC2-08CFF5D45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1A5DC071-EBBF-4B89-8F92-46D84F7BD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A5CB69A8-EB1F-4698-81C7-D0C770696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1C6C7406-E5B7-48E2-855A-CB272C9C4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0CA9A1F2-3053-4883-8648-5F3E05BA5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FB556125-BB00-4899-8BA8-CB77C9196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11215506-CDCF-4868-B6D7-A637E4B0B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4ED4D23D-672E-4EAF-A678-9834B000A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06EF1A9E-A8AE-4457-911F-36092A6291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7842BB6B-CFAE-4001-99FD-E8DC2B4B4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63448351-C0A9-47B4-977F-743BCB035C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468D7205-5600-4669-A335-38EDE2501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BB3BA1A0-3F41-4126-A350-F14A6C739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C1B67BAD-3A83-412F-B507-188DB1749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7651E2A0-CAE9-453F-B9A5-2307F9ED5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94812BDD-3426-4885-8FDF-3E316E4C4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16BAE4AF-D217-48EA-B3C3-A344DC454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DE1882F9-EDD2-4F8A-A59E-118BA4E38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25C9F7EF-08E3-4FEE-AD89-6AA007F310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0B82D29E-E8E3-474C-A6C3-2FF3DEB7E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440CB412-BF0A-45D0-9EC8-5D66A07C3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95D99655-DF79-49C1-820A-5F9E23574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12215034-6530-4965-A9E8-2F4AEDF7A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8C96A460-6A24-44CA-9461-FDFDC5E68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AFBF831B-AAC7-4BBD-B277-0E3249A3E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E095F697-FA39-4456-AE7E-74E6D0CAF8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0A554D0D-4D1D-4760-9FC9-DCD86C44C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AB56FEAC-29A1-4EE5-9E3E-78F544014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43B4D7D6-142A-4F55-B66C-6CA4C25D5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7592DBE1-B16D-45DC-BA58-9ED55D897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A121481D-7BC7-4C7F-9C6C-CB2A9B634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FF31EA5C-4389-4B28-BB9B-95B2996B7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8AD18CD8-A879-4AE4-93C6-277B2260D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7F90BA08-840F-40C3-AB9C-4551BD471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750D3E8D-B283-404E-854E-52E1C2FFD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28F84F98-5981-4448-A4D9-953C21FAC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8F617EFA-E595-4A5D-8E18-10B3E87AE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F5832251-44B1-4841-9B97-6738AB76DF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FC579A08-5190-4DF3-86EE-59A8AA6D5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02F14F63-5CB7-411D-8588-B2DDF1805F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6634F561-DFEA-400A-930F-A710583FB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53658D75-B7AA-4B3A-AF94-D11EE03D34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CC281906-3B3C-4263-BA98-4C08773BB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964E313F-5A17-4963-96B9-C061C67F1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D09CA81D-5FF1-4CAE-8CAA-51D3703DE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590871B7-B8BF-4421-B280-553320318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0458F9D6-F130-4415-B807-E8A5C54E2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2240C509-44DF-41B8-85B5-CD3FB5CEE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84E6CD9D-AABC-473C-971D-61F95D5F3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069BE227-AA1F-4472-9373-1606C68D7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B42F95A0-E6AB-4D23-839E-630A8DAD8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DA0AB0DC-A179-4DCD-AA49-BD7DA5104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3F1ED9BC-63DE-4B08-BB2E-550DE8F18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7B18ED9F-ECEA-4851-8873-E7158AA99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14E679ED-3FE4-4AA2-93C4-9BE0B1712B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02EC755A-0404-45EF-857D-86C9AF12D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66673230-0831-419E-B89E-72343728C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91944338-A599-4BBD-ACF1-AE9DDEE16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BEED5C85-183C-4B13-8E6C-015E035AF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650CFF55-4C5E-4B8F-9900-55D8AA628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5EDE5BCA-A4E0-433D-91C3-797FA8D2B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45F27C3B-88B8-44D2-A79A-C097B7CFB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D2027B46-A2A3-4359-8BA1-11FFBF05A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7FE5FFC0-1A4F-4647-B095-9D5F260A3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311D06E4-28D3-4C7E-9860-F029A4D9A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C0D296AD-57F4-423E-B5E4-FC0ECB189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E84E3A00-8FA0-4150-9E83-F12A6915A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B2585296-45F4-4463-8E16-44F8C44D7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8E1027DE-C802-43D4-B197-3A7A6BA13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978CEB4C-3E3D-4EFC-BA93-C517D947E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16215576-845C-499B-A6E2-E8024E18C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975A7177-1B1C-4E3E-B205-053AFD588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7C0FEF28-3EB8-4545-810B-EE4EFFFD2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9869E7E5-0E57-4DE1-9215-8BD79D329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CEB41B7C-D514-4099-B7E6-C35C3E5B1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E9E2F9C8-D463-46CA-8444-E1B2E39E3E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6C4DDEAB-7D37-4CA7-9AAF-C4A7D560F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6EABF025-5295-434D-9BDB-85FACEF81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1CF88783-92BD-46EF-9F60-BF9C9812D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DD8A0E60-8A58-4453-8D25-DD1B76E687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1D8D8B52-3289-4784-8DC9-CB27E4BAE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838E5954-20BB-4285-9386-FC7A9EAEB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493BD56D-D464-4537-B240-8B770D5BD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9D54F683-B725-424F-B4ED-43539E211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B320DCDC-6435-4A87-AC9A-19B9FA7D2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2A2FB98E-E75D-471C-A924-1E242318E3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BF129D1C-4EF5-4540-A91A-B5DF81292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90F154E7-ED9A-44D7-9291-A1AC3A3E0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D2ED16FB-4FC4-4F9E-B877-A8495348CB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3940BF2A-A1DF-4AFA-A24F-CE8EE7EFF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4D1B1CCB-DE8A-446C-BF99-B385B4820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80BA4FD4-D96E-4945-9924-013CAA6A5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2FDB0134-89C3-42A3-B033-D2B9F9F0E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71B62D1B-C000-4679-8919-69791859C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A18C2D5E-2AD9-42F5-A6CE-AF68762EE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F2211F55-483C-447E-B92C-2C5DF12CC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30721419-0B14-4323-A555-5688BDC2D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B4B30573-FDAF-4B4A-961E-8D22C9189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53FE5B34-4113-4351-B083-3F2577D2E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36EFA5CE-2781-4CC9-97DB-CFF921130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87936C7E-E63E-4C00-B86D-C4F2F7554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53620741-4297-44F6-B72C-204AC6986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7D00DEF6-9D17-4F5C-B23D-4E26C7986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FE30A75F-1CDD-40AF-8B27-9DD881F33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1823F236-422D-48B0-BC83-CC2EE7ED4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06B83DF0-F0C2-461E-9B23-4553BFC75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F4AE6468-2542-448F-B157-B12C4DA26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DDBE8380-1242-4A30-9DEB-976D135C7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2B8CC2CF-4460-42A4-B01D-AF5D41268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2DFF3D6C-2088-478F-8459-3E2006118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65691642-A126-469B-8157-E1E0DD3EA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B52AA728-FC38-4CA8-9CA0-EBBB8D3FE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3E8597CB-B79A-406F-857E-96CEB6A40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BC3963EB-3562-4BFE-8DFC-C86D0834B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6DBD800D-2403-49C1-9CCC-5196F7578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9B6EB1BD-622B-4F05-B447-4C07D450A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92C2FB73-BEAE-4686-A0DC-7279C7F33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85FC0342-504F-476C-89A0-FCCF6A3FC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0FE5D939-BCD5-4A8B-A534-73B475A04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0E37D16E-CA32-49B7-A7C0-B72054D84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BF81563C-DDF0-4B51-9648-2A0A4C578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22776FCB-ACE8-444A-A2EA-4CD183AA5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15DB72F5-10CF-4486-877D-AC1023304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24DCFB1D-1338-4372-AFE7-FC09DB3F8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ED0B78E1-970E-44FE-BAA0-945D6B47DE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4F6C010A-1C2D-4F2E-9AB9-8AFC1D13C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56D336DD-CB35-41BB-B81C-841662AFD7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029E9086-B853-41F7-923F-23FBAD3D9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16A3C713-871F-4083-BCD2-BF124E7A68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A0CCEADD-A34E-4CD0-8796-DCEE9A6E0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5401CD76-DB10-4538-BCD8-F0EAB88D5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08B917D3-184F-49CB-AFC2-01F249380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70CDCDCB-6D58-4FAD-9D5F-548AF9457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39816A9A-1FF4-40F7-9AD0-60D0AF236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9C465C1E-6267-4DAA-B068-37D915DC3B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93C5FB4D-8C3E-48D6-821E-7F38B38FA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3B8C83EA-7DB9-4976-847F-86E35DCBA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9FDE5F28-3A1B-4822-8B29-5FA2A2D921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08013443-5579-4F79-BDF0-3A7BAD318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6D108338-F15F-46C4-B4B7-56F9EC75C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84A5E0AD-873C-4B65-BF49-F8230650D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79A5FD25-1F8A-41B8-AB89-63338E29D7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7D5F02CC-F6B9-4EDA-AD3D-8739893DD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A5B299F5-2CD1-4D0D-B61F-4B15DB421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017C6EE6-4256-495A-88BD-12B9A8867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F621893A-630D-4F58-A671-63A288FCD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829F4977-B296-4628-9A53-BA33DE91F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9DFFD8DF-D8C2-484B-9793-F6F6D5F4A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5A2B873E-38AA-4A04-B99F-7A842273D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E313070F-085D-4D84-BB12-F3CA2EE29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9FB236E5-3E65-4699-9241-8AB889C35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DFC89215-C9D3-4F09-AA42-415BF2453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CFC0077D-C80C-4965-8127-D5B0BC660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80F3F323-8E39-43D6-8D80-94E02EF3BE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BB804D1A-652A-4DEA-8BE1-3D140BF2B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AD8F474E-8A96-4552-9F11-B56EA881A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CB1AE924-B13F-4272-94DE-0A0DAFF43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3BDF0C33-04D9-4B4F-AB77-B5BB4A82B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04A9E7D5-B395-4A80-9D8B-5954B83EF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844B7959-C19C-4132-BBE9-8EF6B4CDF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21AE15A-52C3-4A00-A65D-E236EA7F8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E95CD5DA-1B51-4B14-BB9B-DCB98B1B1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733E3FA8-A8F5-46DF-88FE-2ED197C48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91FF6D8B-5139-424A-8DF3-10204C07E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FD2BB64E-D8C8-4010-94E5-E7075BB57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5E32AF66-6E48-4E0E-B6F9-190138C0E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CE4D758A-EA02-47DF-B6D7-F2B49EE6F4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58F8575B-AD62-4B19-A701-2C26D9DB2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5414FCD6-560F-4DB0-A78C-61D457FC8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08D186A7-F1AA-40BD-9A58-49AF47503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19050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EAFB82A8-D7C4-4DF5-A25C-8F6E467732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C27F67B1-AB51-4E38-9BAE-78FA9A970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62B3B0BC-EACD-47A4-BF4B-539B4C328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8C82E927-78DB-4D83-9786-5106A3920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26089F6C-7CA8-4DD4-93DC-E2005E95D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2449D4AB-FED8-4711-9D36-879C14FEE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60076DD9-925B-4EC6-9355-8BF595D0E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E4FE42AD-2637-405E-A85B-3A359E834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323617D1-B324-4020-A9CF-9A5934293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F8060874-DD34-46C1-91FA-DA669B80D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7B32D709-39D3-42BC-992F-B08922CA1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19050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288FBA55-5093-4CB7-9AF4-74868CF72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A80DC614-A9FC-48FF-ABC0-F70272F1E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31DF350F-4D75-4ED9-AA37-E2CB1AD6A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395F1CDA-6A10-4576-86DC-AB0A7785C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69C350C0-EDE4-4092-ADDF-B86DFA48E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90766B8B-6937-40D7-A67F-4BC3541AF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1441EF0F-F260-4748-816D-F7589A926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7C234E49-D264-46FE-8833-C818A9827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55018494-7A7C-4E87-9270-8AEF86AB6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CD726B95-2449-4C10-9200-BEFE96603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897C2B1A-3DD1-4F89-946A-B8DA8D3E9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C5CE7D9C-DC1B-435E-8CE1-CEAF6F8C3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EF00DC16-E1D4-44A8-967A-F69F776E3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A2DD931F-35D5-4BFB-AD4C-D711C1F93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73114E5A-1204-410E-8628-DDC24A0499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981E61BD-427F-4D46-BCD9-6D2F094ED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FDD9EA47-AE41-4A91-912C-F931C1E5A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6C8D942E-F45D-473F-B1F7-4B0A6A50C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4D347469-1F9A-41E1-BEB3-9EFA52FAA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D8520C0C-BFC9-4B2F-9401-3881D7865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576514B1-4628-4BA9-8AA6-CCDEC2817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21328135-B56F-47E1-97CE-232D1DE6C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20C8BD28-260E-4E11-AF02-4E78B1018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67288E05-1FA7-4CB6-B108-A9C300BE1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B49F071F-0D3D-42A0-BDEE-F941328CB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D9C4CBF9-69F6-4F0C-957E-2F56B8F8B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2D518A6F-71AB-4BAC-A701-9B03A2351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86241EE1-1253-4C8A-9B77-90E4469D1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403FF954-E761-462A-AACF-3405DB59E1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E3D0F48E-8FAA-48EA-88E0-D1535F4E1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F814A883-05DA-4995-B200-D003C273BD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44EE0CB3-206E-48B1-BA10-8F28C6E40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A5BA9A79-D550-4E36-A320-2FB9403934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66374671-F14F-4B6F-89E1-E2B66B3AE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492850E9-07C2-400A-B898-B577A9F2F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8E52A153-F1C1-40C4-BC04-1AE3F5782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DA12EE1B-13B1-425C-85A7-539142FCFE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C3E6B28C-4893-4C2E-9DD6-A07C51EF4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2E4E82B8-16AD-4E74-AD88-6CD778332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8975D267-6104-4FAD-B8DC-2ED09D268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916A5E18-C0D0-4AAF-958A-F888EE552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FB653D7F-93A5-49F6-9791-1BE0C93D9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19AF2927-6A8F-4EB6-95C9-80356C6C8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11F8C52C-88B5-47E0-81A5-CB473205A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0F9D2320-BF24-4CCA-8E21-DA99D97E2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ECD22653-203B-48C4-940F-C01A798AD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51AFA13D-FC34-4BFC-8C31-0833CCA4D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D4C7DA5B-5D6A-45BE-A332-FD524DD33E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FFC1485A-305C-4C2D-AD1D-9FC8DDC5C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1501DD67-3E04-4350-AA81-41A8FD30E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9FB38135-1651-42A6-A815-126C8EBE7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800D8DFF-B29E-423F-BDBB-B1CE90A6A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EFAD0AC6-238A-4139-97AE-FA5EA70CE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5BA5B4AE-3FF1-4A40-8C02-EA13ECFEA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AE7FB23C-C3C8-476A-ACCC-E4F241547E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C3DB946A-B509-45A8-809E-B409D842C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836753FC-B2BA-4B58-A51F-378446D6A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35B271BC-D8E4-421F-92C5-E44A6A2C6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BF133A54-8C23-4161-B59B-30453CCDB4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62BA6117-010E-4B98-95F3-C2330A529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BDA276D2-4A9D-4D05-98B7-7C2647FE7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414DA168-1DDC-49DD-A32B-6C16819C1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637ABDE5-F483-40E3-B5C5-6DD58A088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D012CCF4-3A17-4216-BC20-C5EAB69FB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C2711F81-3B89-455B-81C2-3365D93C5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CF04B3BA-0982-4549-A3AD-39889626E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F3118015-A9F8-4436-A1F5-DC1FEBEBD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A1DB75F9-A083-4DED-AD32-6D8349FDA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D616FAD4-30B3-46CC-BB81-0BDBD68261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9D3DFDBB-DD88-46E1-9ACC-B1EFA750C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82E70464-D6DB-424D-9877-80B31E3F8D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DBEE203A-FA8C-4FBC-AAD8-594B8E17E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92778766-AC2B-4772-AA17-BB32613AB2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A39B8A74-A9AF-4F60-9F90-EB1C376A1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963AA05F-856A-41F2-92AD-926254AF4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0249224C-157E-4493-8D47-393B455A7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AC219C75-3ABF-4A0A-8B6C-702C54C2D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B387263E-9353-4525-AA5C-305B0BF74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859B7551-6F89-4B15-92BA-5CF9D9F6B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08BC4E1D-0471-40C5-836C-5F072E3D5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8A9C4FD5-86F2-4130-8F16-8F3C414A3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2216AD6E-926B-4C9D-BE50-5F7D2BCD3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6E44311C-BE83-464D-AFC7-0C367C3FB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7AD80E5E-10E0-4CBF-B0FC-32C48FFB7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975451CB-5400-434B-9DAF-18E48E394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C4619FF4-CE94-4E0B-97BD-5DEE5C1A4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3C0F93DA-72B6-4628-8A3F-EC2E910A9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5B949E47-1130-4B64-90E3-4F5236A76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C4561DCF-4C6D-4798-A437-8D1B46C94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86593FE2-20A9-4D05-B60F-8D2730AD4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C5911135-BF8B-44BD-9E0A-5022E6F60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085D4017-196F-4CE1-8B55-F8AF3A2E4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8BE7C36B-9A9C-4080-B298-44D7FC6B0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7822D490-BED3-44C0-A1FD-D4BDC1090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212FA777-9721-4CAA-9A4C-DDE8A71B32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7DBAB8B9-10B5-425B-90FE-7A7C67D81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E47238C0-E3AD-4F47-B6E0-CA6391148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E64B46C7-97B0-4B20-A846-81C89EE31E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36877F91-CD89-43FE-91AC-16A5949C3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DC06DC03-FB7F-4B8F-8210-A7A2B25467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D1873F6B-1277-4DA1-881D-9C639B71C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FB6ED128-F047-492B-8373-E246333ABC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DC62FE54-DE32-4CEE-9F3D-131C8DE57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784E78FF-2C5B-4D0E-8C68-488ECA305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09515E5A-6FF1-41AC-939E-C30057B9D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54340D57-D2C1-4AA9-8C39-9465FCF5D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0BAD14A6-D2B7-46FA-9622-C3D5926CF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CB7A7A4A-4BFD-4BFF-A5C3-81439943E8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655A95B5-1192-4C90-9203-408E8784D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50563E04-0EDB-4B60-BC92-68D238DC5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08A14C9A-A357-422C-9151-0D9D1D6479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399C73B3-7A5F-4A7E-B456-BC0FE2E2D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72ADA2B6-C970-4792-8BA7-09B398544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F7B2F96E-D754-4F3B-AB35-8A0919A5B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2963B680-3AF9-4F09-8926-AF809F670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08540475-6818-438D-9D4F-DB74AA83D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88410DFC-8854-4609-8FD7-2469AACBD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5722B762-F43A-4F03-819E-85784DC61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C7D4859C-F867-4184-8BF8-B4F1BB06B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2FE40786-6A7E-4E88-9E32-F57241602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C1FE3732-FA3C-4D4E-8BE8-045ADF07B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93EB20FD-CE53-49B3-9635-9C42DC830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4FB2C42F-C957-4958-B2DC-24A30C131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16FDF88B-BD8B-4435-A6DC-CFDEDD8A3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0D4BEDD6-F6F0-4B7E-9F19-9200736B4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451E666D-0219-4A47-B00F-8A3817FA8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EB1E3ACE-2DBC-4417-ADCC-F7F435CB2D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C1B643FE-4BC4-4315-9410-8D2F82523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48F2167F-2EC7-4E37-9AB4-87350DB8D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41E67D3F-9756-4F9E-841D-25CCAF448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B109C8D0-069F-4869-B3B6-FAC3EBDD6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750AB111-EFEF-44D4-AFA9-FA8BCB41C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C99C1A97-0799-4D1F-9D41-0F8084A02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E456DD9F-5A82-4F2B-A597-8EF2335E2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B4383898-8C72-4045-8DA3-C74FDEF30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64130D67-B160-407E-8C75-D5EA3458F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9AA010AE-BF86-4E42-B4E5-90A0E9A67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063F9D9B-2215-4E0A-AD9E-2551B7C5B6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5C73C021-6A63-40A6-BCAA-80F94D237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A78C0621-EDDC-474D-9E3D-77FFD6875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8BF51DC9-5E42-449A-BC63-696E17ACE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EC1F6781-E604-4792-9127-16783E024C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BAA8F766-DC8A-48BC-A239-B61A29757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0F485F84-0A12-4803-920C-45A484C88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E93C150F-9FAC-47E6-A58D-01E101D01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01B43979-414C-4B24-87AD-34DA6287A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FB620F3B-C319-4595-A8C6-1E96FF506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24CCAF31-B6E6-4E7D-B465-DA487A4C5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A0C40A61-246F-4970-BF8D-ECBDBA4357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528A6765-E3F1-4455-9E57-C11152FFA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9356E9DE-047E-48B6-85EA-F3734E99B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BA201589-A875-4776-A4B9-7AEA68B86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09E6EDA9-7260-4878-9DD0-0E461BED7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A2111243-0607-4A8F-8607-26EC60081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7CEBA193-1DD3-4F6E-9BC2-CBBBC522E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B4D40FC0-7768-410F-9A40-2F21C22A4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2743EB3A-67FC-476E-80BE-949E08B5B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1DCCA84C-13B0-4428-AC40-11C2E4C0A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46D9E079-1420-4F19-A672-0E28E650D4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E5F90CBF-75B4-4AAC-81E1-61E57FD63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EA48D209-8A14-4D8F-888A-E27033790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3FB4C387-98F5-4416-9C62-96669C5E9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1F479A47-0281-4BC3-B746-4E30515B0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9A224033-57D9-440C-AA10-A71B1B06F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678D500F-2559-4AB9-8AF6-90D720BE2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A016B46A-D13C-40AA-885A-B335AEDD4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BC926407-4628-4412-8918-C7FF7815A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3E3153FC-0B4A-4D0A-B8D9-FD80144A5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55C54E2E-5DA3-4C6B-BDFA-7C5B28752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5D5EF7FF-613A-4ADA-8A70-39756DE7A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A156B6D8-2FD3-4FD7-8401-4A7C6830D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8A1A63B3-FA46-48FD-8A45-4CD379DBF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F1AA0352-3D74-4743-B5EE-8A2946562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324536F9-5F68-4C48-B2D9-0DAD4B9FE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82DFA54C-4A36-4DDB-8D7D-DB7FB9517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015FF721-71B1-4555-8543-5D5760B72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474E259B-362A-451B-9F4E-06AEC2F68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19050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0E36133A-2014-41FF-8F67-C3866438AF7A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08911706-5360-4622-A270-A945273261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2D837E40-1F93-4812-A080-70E96BD3F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68F4D2CD-AF9E-420A-97F8-6FEED4194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838DFDAD-1B1C-4249-AA97-CEA1BA2F9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1BC29CFD-D413-404B-A58D-9E017E4634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0AEF4ADD-2AA4-46AF-AD84-B7AF7B5E6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C5FFB628-6295-4561-9BA7-A353864E7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467FCDD4-0E85-4012-ADCB-41BB9FF54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73C4D011-AA98-4078-8D04-74F8739AC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7986D995-4E56-4C8A-934E-DE965E72C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94AC9374-B913-4E5C-8D95-165715607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29D2E2C9-4088-4ECC-9A6D-0A9A9A1A9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6494E33F-F14D-4896-AC92-C286A4BF28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DD6070F3-9D75-40F6-BF94-1244D0904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8569663B-F8C2-4825-8C9B-7913F1122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A6FF89FF-AB29-4548-9CC8-206E40B390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C86C394B-C427-4692-950B-070120363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2014A857-DA20-4419-AD3B-071267EF1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7CF019A9-CD07-4EAC-B7A7-1AA72D727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C5908DC6-3F15-407D-978D-A9F63BB9C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090C9B82-63CB-4ADF-9ABC-BE2304115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1AC35F36-5537-486C-896B-9AE0E994F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0EBB817D-C594-4545-8190-B23C28F39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46D2195D-A46B-4BD6-9FBA-055EBD0C9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21AFEE0F-1038-4542-8AB9-758EE8AA1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0C54A578-39F3-4BC9-BCF6-A29274C37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FE80B85A-ED6F-46EC-9C9E-04CDAC34F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C99AC2DB-0750-43E5-BF55-DB2488EDD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DD7C633E-BC18-4D85-946B-52A736657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103839A3-2C1C-4EA4-8C96-2AF9C69DC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7B3DBD32-EF95-49F2-B4CF-1283176C8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32402B55-9502-438E-8A4E-3D9D7D74B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F0424A3A-1E07-4083-9545-5B8EFC53F4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DB41FE1A-D804-47B2-BF92-AAD405F3D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3D111E2D-54CE-454B-88C7-C0707A0EB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352E1101-B109-4FF2-A5F8-0E94FF510B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92F2790C-8B62-4073-B737-DDBD99FFF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EEFF7B49-23BA-4D28-BB1B-93C1BD64B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3BAA526E-562B-4477-A728-EAE61F658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E3FE9A1B-BC83-4075-9699-76F176486D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292222E1-0404-4AB8-B307-6C4294335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93D0920C-3E1C-4A5C-80B3-2C55B9CE3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63964336-DFAA-47FB-851A-33070B378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9BD6AD26-E393-42D3-9B4E-D1BDA3CED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97E67672-8FC2-442C-8B61-FD355190E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481FA94A-E410-4D65-B51E-16E02E6EA4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FD03B165-D54C-4EBF-9CD3-E95ACF214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00EA7262-4C9A-4701-BFA0-DA5D5AA52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5AF2D8BD-2DF0-4BCA-B09B-B51D7A2F6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8EF199F4-3DFB-4777-B01E-B074457B7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A7825EA0-BA81-40A3-B7D6-C4EE4ED95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BEB39751-C6F5-40DB-869E-99EE1C8C0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E1A0C678-AE21-4FC7-8B8A-D3A5D3706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7AB52E82-62D3-4DA2-B446-895D07AE9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54A392F9-28FD-46DC-AFB5-B366121C6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6EFAC9C4-5849-4021-B666-14C8D4BBE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A34AC52A-08A4-40AA-A701-C8D5BF03A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29D7F06A-6614-4FB4-A491-6869C23B5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7785DEDE-6F88-4B53-A6B9-E75A0A540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AEDFF05A-30A7-4113-B4A4-D8474D8BBA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655F470E-DC1E-43FE-B128-E31A1E942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FEA4A53A-01E0-4132-8177-86035B032B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0F1F8DD4-6A88-42FE-A7D3-DE6A1A098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8D947DCB-FA48-4063-91D5-181D6BB383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057FC868-4CD4-4284-99DE-594F63934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0F0CCC75-E848-41BD-B6FA-1857474CF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4EB34806-89D5-4D28-B452-A44DCF22A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07D49DBB-6800-4213-82A8-33E55C973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96749211-D465-4178-8CB5-005059FDE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7B8B4862-B94D-48E6-B63B-445F57888A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EE4DEABF-D937-4221-B74B-7A668010C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0CA7215E-8BA0-4466-900E-2A239A703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21C66038-AECB-4BA4-8756-5242628C64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CE585719-F101-4759-9C85-C2945F24D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BBBE2CC4-195E-4EF0-A103-8A6EC731D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F6AFA4E3-A367-4F07-93F6-03CB2EFD5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260059DD-5DC5-4C5C-BABD-32EF56AA52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294DB17E-E2A3-4E14-863F-953FC8139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0151523C-11EC-408B-8D53-0F16868ED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BDF93700-C054-454A-9462-344A0DFCC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184389CB-B31E-485A-A504-8291D5870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0B1792AF-48E1-42B9-B4D2-A19CF0779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BF24BF39-C98D-4EDE-87E6-D3561F124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66D8CD17-F0BB-4FE9-AD62-D4A12EBFC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3897C1CF-CB30-4B75-ACCA-2EC9DFE91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EF4FA602-86D4-4202-AD18-51A79185A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E034B07F-6F29-4E8B-B361-A20F85DDF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BC11A039-7DDC-49DD-8E21-D7A079D5CC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D2FAF914-3589-4EAB-B347-F68CE06FA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A35CD320-CE72-4E6C-B912-E53DFB4AAF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285702EC-02DF-40E1-9085-5D134B61E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299EAD44-D03C-4948-9545-41112C08D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2</xdr:row>
      <xdr:rowOff>114300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781CF441-1535-4F07-897C-5F06A32706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BCCB734C-9548-4918-ABBD-38E469F50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AEC416C6-5F0E-4EDF-91BC-AD09E7662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</xdr:row>
      <xdr:rowOff>0</xdr:rowOff>
    </xdr:from>
    <xdr:ext cx="304800" cy="365760"/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708CA33F-544C-42B0-BCB9-C4621CC50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12420" cy="365760"/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CFE5E8DE-A855-42EF-8274-808D45576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DDABF562-F309-48A4-9DA2-E7636B718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92582895-14E8-404C-A7AE-131796ECB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5BABF53F-692A-4455-8C6B-AD57AFC52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D38765EF-8E1D-45F0-B832-4829CCD644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4BD1B0BD-365D-4943-A8BD-727C67A34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5FDED544-5E7F-4F8D-A9B7-CC259FD91F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57EBCE18-D8E5-4616-A4D1-783E83AFB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85ACDE81-219E-40BE-B819-67A7B2F91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7422D21D-D834-4F72-8F5D-24C14E90C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C82474B3-C60B-4862-9ED8-8F3037D57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0507C9C4-A8A1-4121-A63E-A12E420FD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0DB7CC26-DE94-4ECB-A63A-EDA8D55223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01F7FAEE-5F96-4640-988C-C3E941967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353FB786-70A7-40F1-9F2D-F0E9E7C5F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BB43CFF8-77E7-4DBF-AD30-1C5EC35E2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BFEEAC6F-C0FE-4832-8E76-463B4251A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6EFF739D-FD9D-44A0-AA30-496433490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B584489B-0665-4B93-AA70-01838AA9F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19050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1EE90AEE-CDEA-4677-96BE-56A43C388E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53CD4FC3-DCF8-4FAF-9622-BD71E5299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486E9F1B-420E-4C66-AA02-FE4698329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19050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7CBDF3F1-59EE-42B6-836A-D0035DCD0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89A4AC37-42D4-4240-A246-3B1C33ADE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62583E97-920A-4CAF-9BB8-7ED76B9BD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47CDCE0D-0B0E-4354-B604-C67674EB5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7AFBAD9A-A311-468A-A490-794E7702D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98C2674A-D7F2-4C56-A486-0CC9E4BF6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76AA75A7-3C07-447D-B068-806F9C8E2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134E89BD-740B-409D-9FD0-C0BA04B17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C40ADB4A-60D2-47A1-B62E-21004D688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2CBCB461-7B64-4752-8348-4E66463FF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54CFD009-3F7A-4187-8AF1-CF6021053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E3AFD7B4-6368-4576-A9E5-157236054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28C6BFC7-A9F4-4F6D-8DA2-62F13B633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1C232D8B-95BB-4441-84A0-DC3F55108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A44BB407-54AE-4D5B-BA07-004575C13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4D317739-9D48-4265-97E5-7E0B322A7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CF5E5F53-C7E4-484B-82D8-60EB5E5BA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0EB0ABD0-9356-484A-9765-D69E66260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A065BC05-AB67-4ABD-9F62-822C018C6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2B8F46D8-B1B9-4BD9-B512-C960087F1C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55C08F56-0D78-497D-92B6-646FE5725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8FB94E8B-BECE-44AD-A874-2E377B5F1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1DC6F2F0-CDFE-49DB-8BA9-F1FF0EE59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45DC8363-A1B4-4481-A039-610332DE7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CCE63AD3-9A97-4D3A-9B42-326AAED75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249F6B63-2E85-4C28-965B-50B3943A9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5CDE45D8-8017-45F7-B71F-7A3683A2F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A895F46B-CF69-4101-BF02-AC6B5CB67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0C9CAF2D-C702-422B-AE47-D2CB82662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9C2485D2-AE8D-4F8A-A482-B7B2DCDA6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3F2F6F6B-11E7-4F4F-9D1F-8E3CCD0C6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B41687BD-2258-472A-BB23-2C2C7C731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C0DC2EFA-B659-4565-A99A-03C4DC547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DC3B8BE3-73DB-4F18-937B-AA40718E4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842AE35A-C6A5-4030-8DBA-131047D3B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30820460-E02F-400D-99AE-79C3156C1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2751F6F5-17BA-4137-B2C5-06236AB6D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7A26FE4D-7D8A-437A-9C58-F66D5DA63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F5C1394B-DA76-4BB9-A84F-5139BBCAF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153E5A25-EA41-4B9C-8F96-A88B00A48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98800CFD-C3AC-4CB6-8D13-76A565A9F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DA96E245-1509-4613-8C1B-4954D136B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7298B739-CC43-4244-9749-D139374AA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76506EE2-D12E-45AF-8361-7B04B57DA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2A675E1D-E973-43DA-A18C-88DA1D423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BB383C9D-0DE3-455E-8377-17180CE09A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3581867F-A24C-4076-8F46-F2F661222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41A9EB7D-6549-4E3B-B02A-F193890E11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DB44D439-CDE9-41CF-85E0-881EE12C1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8DEED9D0-8C59-4BE5-96AB-EFCF80AF7F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B0483C80-E555-4E97-AA30-2E863FB1B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013C15D9-37C2-4716-A7DF-EEBC8B898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11DCA7A6-C153-41E0-9E06-92955BD4B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ED1B40CD-2782-4C63-8941-618D87646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0C2F07F6-6A41-40A3-9661-B621C1D23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DCE9CC7A-4BC9-41A6-82B1-B2C2E527C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31721615-1E25-4109-AD9F-D470114D8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3BF8AF5C-BEC2-45BF-A351-283CDF667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8FC2FC00-73CC-48AF-B3A9-65B370E502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3EF9E6BF-8F7D-44B7-97DD-A4EE69DA5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E69CD334-CD04-48D8-91F4-444AB0450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329B49B4-7C20-4B69-B3F2-44D8EE081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B6F65637-C80A-433C-8E6F-0F96B5FB58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EC4EC44E-440D-4277-9DE1-77E53E71B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7F1EDBC3-6C4E-4583-869D-19F2B20D4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4EBDCF9E-32B1-4BAF-BFD1-640F26837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A6946349-F17A-4BBF-9CE9-2E7D2EA87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AAFEFAC9-5CE8-4A7E-AE8A-82B0B7703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7C22434F-74A7-4E1B-A0BA-0A4E44D83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026B0377-CF2B-4A3F-AB25-F1DBF70B0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E6D4DE2B-E1A0-48E5-BA31-E5D6C8853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30A2C49B-CCFE-49DF-95CD-236519621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D836A760-A1F2-4447-AA1E-208062509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BB1C1A06-1BD8-4DBC-9CC4-F7FC9AD0F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9B58F3F1-571E-4546-8AC5-9BA0F3249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32E114E9-B13F-42F6-911D-D93F5484E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EF9FD26B-8A57-4C51-A29B-5A8ED2330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5A81A269-558E-4E46-B93B-D4C7F11E7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C0EFA511-CC1C-412B-BBB0-53776AF7C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AC30037F-0112-4D25-885D-7ACA0E110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BAF55CBA-D355-4E6B-8DE4-5F9CF6D99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EB6B3F0E-2DD4-418E-8A3A-780E6FC0A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62CA7DFE-014B-40FB-BE29-9E965824E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C5DA054F-C8E7-4993-9CB8-96688D7EB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7D3EFB23-15A2-42CA-96F5-14D136122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6250725B-B353-413C-9B0A-0F20C787B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8A44989A-F774-4A0A-96D2-5ECC16CF2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CEA92E77-C06D-4D4D-9B1C-E8308E1B0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19619515-BE64-4B64-A9F9-CA212052A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128DFA7F-8DDB-49D7-8AB3-16E9F7F83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A5672D69-CFB8-4BD8-AF76-664CA41C7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FD1BDC31-1134-49FE-B007-C939A49BF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CA575ED3-1906-4C02-8408-FA7E7F44B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B0FA1917-F90E-4FA4-B59E-B6BFC8C23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F1CC2C2F-E7E1-44E7-B75A-238ACA1EA0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C765FBFD-2BF2-4F4A-84BD-236464DAE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3C69DDF0-B92E-47C0-B500-43181C595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0C17235C-81C4-496D-8017-8328B7206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D7B8395A-51FD-4B64-87C8-3FAD13513B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617973EA-4AFF-4C5D-9482-15F4EF1B5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780CDBF8-EB4A-4F0F-9656-B167C707F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C9C89FA6-89BA-4632-9E83-C0820DF3A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01BE3D11-6B5A-4197-BD1D-B8FD823A8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E3A21710-DAF3-4E62-A3C9-186AC7AF4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FB25F7A4-5921-48D4-939C-D22AEDD0AB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4F3ECEB0-25D6-4FEE-A96F-25109CBA7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4F5EF0E1-2BD3-4FF7-AA34-3BEC9A686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D14DD7B7-F61A-4C78-A491-FD74A3FB2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2689DC9C-0F4D-4BAD-988F-0B7BE3FC9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1DF65E32-1684-4F33-8CEC-7EB3ECA5E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B01212AB-8949-40A2-B742-4E8B46F3C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3DEEE43F-3F9B-49A8-B07C-18242B0E5E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CDDE0A24-6ABE-43B2-B957-458334637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73039430-15D8-4029-9119-D4751926C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E8F909C3-37AA-444E-A583-5C9BE3B7D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D9CFCF96-D77D-493A-876F-91E996C4F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323786EC-290C-4E1A-95D7-5D2F5D75B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B96E3A0B-B60B-4220-9864-D151FB99D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C1BD6BF5-DC3D-4C25-BBDA-CBA01000F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909615CF-366F-4CE4-BAC3-7680CED73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715CCAA4-688D-4493-B43D-DC12D41B2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05A198AF-BE37-41EA-A568-5B2EC140E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B4A1D47B-3477-4581-9686-9518C0609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03FF6199-0047-4453-8517-BCDBC6157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DFAC2EA0-F567-4B57-91C2-DBA22280E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E506F341-9171-4009-9D42-C10E25E44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94BCC619-37DC-40D5-8A67-ED1C9D6BB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B5028A60-C4A1-41F1-8F8E-8EA6F16DAC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4DCEB585-459C-4DFE-B76A-6A10A8562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D2BCDF59-6A37-45D5-B53A-41D09D121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79B2F285-5EBD-4F74-9111-EB7ACCA94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A1F9F5F3-CAF5-4884-81E2-A228D4F98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26049BD1-2C53-4DB1-A8B4-37A4E30D2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EC1605C1-A280-487B-A03D-28E4220C2F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1337E640-386B-4710-9BE5-9AD4FBE6B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4727F1A7-8C51-458F-86BC-9AB424A18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50FA6ABA-06AC-4180-8981-EDA7AEEBE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EE6F9BC3-AF3D-459F-9362-74DBC9745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922E1B77-BE2F-466E-A82B-922CBA10D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83A9064E-8D5A-40EA-9D47-890AEB005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117956BD-9AE0-4C1C-A30A-BEBBE8422D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2ED196A5-3C6C-4022-B834-F21415A73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B01FC117-1B93-47D8-8341-4FF814F6E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14EDBA54-F1F1-4E2D-97AA-4677F4FF9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357A4E07-3400-4F40-8DD5-EE08FD528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32A177E7-3BC3-40D6-9D24-890F42698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DD07E96B-8C2B-416B-901C-678589E4E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A2004B46-AEF0-424A-B17B-C833DFE39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681DFF10-FF9F-4447-9F70-5E2E8087A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5D4286FD-7C32-4464-B3C2-113C1D0FF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9B2BF0A3-E427-4618-B9BE-4D14B3684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E16A9071-9BE4-480E-9D4B-F7F33E9C8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D6A1CBB6-6CE5-4641-BB3F-B59996EF7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EF041099-43F5-43F2-B135-68B917EB2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85C24539-19EE-4FAE-8370-9873824FC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DE0C56B4-4D27-4151-88D2-506C14D42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F2192A86-0EB3-4F74-B926-BF2B0E7CC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E91A9AC0-8B31-4109-979A-327809CFC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C1E2AAE7-BEE7-4ACE-95B7-BCE50B370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870E00A7-7990-4605-9EEA-6E180909D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AFEB5865-927D-4A72-91C6-3FD6AEB8D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F1629799-8046-4CF4-809F-8E8DFCE83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89654FE4-049D-4BAF-B832-256D79C594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6D61C318-F69C-455A-A838-3B1F3F342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C6FD7816-C23D-4713-B9D5-C2608C1A0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F1095969-2B9C-493A-93CD-2BE40ECAE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5E7CD30A-38A9-4132-8520-E238A0775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284D8C52-F2D2-429B-9816-863980F38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FC0984CA-6097-4A15-8EF3-7FEC999F2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E6CB3BCE-C9B1-4C3F-903D-D9F25DF60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2ACF9F25-AF7D-4F51-B00C-9E863C870A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B212F9EC-ADBE-4FFF-B9CC-FB5E7CD94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16DAE944-BE21-458F-B046-CA29F2EA9C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1A00FFB7-3522-4FB0-B584-983681364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FE035960-D082-4BFF-B2F3-159C2C5F2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95FD68D4-71D3-4374-8635-8214F65768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85C2FAF5-F02A-44C2-9C45-8DD079204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930A7C52-B43F-4B69-A475-DEFCA5886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EAD6F97A-5D8C-4B05-88F5-BCDC38AE81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907681DB-75B2-4EDC-A7BA-328DE0F80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3443B49E-253D-4FB9-B513-B087E28FB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C000E353-8551-408D-8ED2-D8902E850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3D85E483-3542-4AE5-B7D3-9BFBAEE7E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45434799-90CA-440F-8DF8-B2DAEC95D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169E8ACC-A4A4-44E1-B8FE-99E4D3A18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ECF0FA8C-27CE-4890-AE5D-BCC29436EA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D3870710-79F3-4EEC-9C44-D846A8723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5F483AEF-8088-4E08-8358-94BB20CFA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F13CCF49-4726-40FC-B741-33B18C13B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36B36A67-CD16-42C3-B2A0-786CBBEFAF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EADFCCFE-16D8-4997-838F-31955FEB6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BA18C232-85AF-4780-B2C1-0E2B07C1C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CC6FC6FC-E15E-405C-A62E-B29E22CFB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40FA0F14-C4D0-48BA-A1F4-1D22BDB4A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37C49D06-92F6-4E5E-B272-A4558DB06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B120B374-449D-4BF1-B7FF-286B696D6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1769F6A3-62B8-4B72-87F0-D6981AC5C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E0E0C0CA-4FD9-4B93-AF68-EA49B55B5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49C7FDC3-EF3F-4155-9ED4-FBA51145D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C409FE1F-C5CA-4E20-8B12-5F2DF4864C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9D7E17EF-B58A-4AF9-8EE6-92C6E2BA7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AE9C8B1B-E958-4D2D-8E22-65EC98E08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BD68CC8C-5AA2-425D-811D-977DB2840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E2069D42-36A7-4464-9390-AC8EE42F9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6D5A14A5-E89A-47B9-BB5C-74BB48F71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9E0823C5-4F96-4840-8E67-73F54F003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61A569A1-DC90-4105-9623-441764575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40911202-88D6-4FE3-B69D-4DF150305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BCE82CE2-1B40-4450-973E-C45783A42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E1576B24-B283-4080-9FF0-4570D5670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D0FB49A1-7006-43BD-BAB6-4A226680E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0AEC6D40-34EA-4E80-A958-302A2A842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829C1716-A878-426A-BC81-A660C8B2E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32C9339D-CECC-432D-91F8-62678A99B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5CF1CBB3-2119-4FBB-90A7-28A954A40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96C67EDA-3AF9-4AB8-9FB4-E6855F9AA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49D54502-1EDD-4D42-9EA5-6C598A42A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94BC2C1B-EADF-4A2B-9CC1-BDFDFAF7A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7200D561-394F-4B7A-A6F1-2E53C6F88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DB73A14B-D662-4082-B0B0-9D960C4EA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E3D8120A-1C64-46CA-A995-4A0A6ADD1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83AA4E77-C2AA-4708-9FFF-78E7D0AE4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D27A8D9A-09C3-473B-84CC-4285B30AE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DF56E8FD-33AC-4435-B505-43239A3DD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7A00A896-01DD-47C0-9CA3-FF18944CC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1E041C74-8197-471A-80B6-BD34B58AE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B96985E6-3C79-4762-9594-CDDC2F07B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236684C0-3AB0-4F59-ACD3-4C1F7F30B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8414B3B8-16DF-4278-90A5-DBD34A81B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8B570076-A902-4133-9E0E-95CF9E3BE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5CEBB92E-037C-466F-AABE-A2A4303E0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1BCFA58B-1C4E-43C8-AA71-BCBC9298E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52222D97-7533-4D8A-97E4-2B2D0637D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651FCB2B-D659-4B74-B833-A2B145F0C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0566AEB3-E49A-44CC-A58D-496CED48C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89A42345-5F3B-4597-AD27-9145096EE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DC742D10-1CBD-47E4-BF65-8053EB66D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F0D16CAB-EF17-4827-AE03-84FFE0D96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8E3FD4EB-1A7D-493D-B632-0F5BE1470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D9FE883E-221D-4D72-8EC8-71848294B3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41D33730-1D35-4986-8DEA-594B87C11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E152A64F-3477-40FE-BC83-679CDFF86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A5D9D17F-1C87-4522-84D1-29459D15E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05C87B64-84D6-48C7-AB00-AD6E56F86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60FAE3A7-3D6D-42B0-9F73-E60BF9F44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3F7B9886-76CE-439F-BE44-52DF6F77A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960AD02D-E07E-431F-A614-18000D748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A5A4AB22-0811-4044-B4BF-A1E2CEE65D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2699C5D2-4A21-41B4-8566-6C46172DE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5242F2D0-1744-4726-91BC-1FB4CE721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572D1ED5-C220-4B3B-8BB4-D67022827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1D737631-DFEE-4216-B5FC-A75F35A85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2DA889AF-F14D-4A49-9DB0-16935FCE2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9FD03B0F-7638-43F4-A7FB-5E22EB620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9E7E9D2E-4E00-4235-90E4-269DD8003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D066A09E-AE9A-48F9-BBD3-321D24DEA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6B149862-123A-46E1-9DFE-17EE64DAF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11334E0C-AEBE-4AD9-947E-BB68ABAAB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9F44FAA2-970D-4E50-A1AE-A0444264A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24A963DD-B2E9-443B-B4BE-600B1DE38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6343C803-A0B5-4C2E-B451-A1259D9FF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52D8F5B9-DBF7-452A-899C-BB329DF58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3D53350E-6FEA-461F-9E12-B42E3F1DA9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0B93B71D-3805-4E0D-A9EA-8A5726D67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6B39662E-BCBF-4F10-B093-65F8157F4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25264E8C-DB3C-4DC3-9CA3-3CD1AAA60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6B813F83-873E-4A20-A497-B8458096A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3BDFF49F-FD5D-4D44-AFD5-AB7C93F79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2326DD55-7D7C-4B97-86B7-DA6C8E66C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CFD00966-7F09-4434-A95B-AC37558CE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F292401E-07EA-4930-ACE3-4A0FEEAC21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9A9F3EBC-C4F4-4F36-9616-750A24ACA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1F931154-6F28-47CD-A170-1A1CB4755B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431084D6-139B-4006-A1FB-B63F139FF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C77A1229-388B-4242-BBFA-ECFA50008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74A9C257-5B79-44B7-A223-0A1EC70B6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191D3F04-42A2-46AA-97BD-8C8C46051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74C3A440-EA06-47AD-8713-7F5AC1D82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F1AE34F2-E486-49FE-B4CF-D4AECB6A47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808DC846-FE06-48C6-86DE-1FB8A05A2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4E7869E2-59DB-4E9D-8E9E-2BA617B96B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5AF3AEE0-14F6-46DF-80F2-B420617FA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E4D8A152-ED7F-4542-80C6-33610A107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7C5ABE30-E6D3-4867-A40C-F4268E1D7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BC65C7E9-EBA9-4361-8706-ADA6E7F70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A44EC9E0-9ACA-474C-B4EF-8844DCC08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968D17F1-8A53-419B-BF1B-AB9E0E6E3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A11BE012-DD5E-4FE4-94DE-46AEFEB85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E0766000-7EB2-40E6-87A1-202FEC55D9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3E14C656-6FBA-49AE-8B2A-4C1D0513A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3415DCF5-6573-4EE6-B1A5-88DC0253E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9C8AFFB9-75A3-4DCD-9B2A-794DEF5C71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5B6B000F-C99E-4EBC-B986-AB90A143F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E96A71B7-AC64-41E8-B66D-55B403D0E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D3C039C4-4697-4B71-9AA1-65249E901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24EB21EB-C295-4FEB-832D-A3E99FE33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240CF289-2E20-430C-A892-EECDCC66B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E1AF0A91-0AB1-404B-BB08-92EC984E9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4EDF412C-C67C-4D08-B011-737A7B7F1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36FBEEE5-5C8E-4AEB-BC7F-9BAC620A1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C3C66A08-C3D5-4715-9BB7-F5E2A7457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475B05ED-0BC6-45F1-9AA7-9288E80A6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5056863F-8A6D-4CC2-8159-4BCC41F6B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A4E2902E-B80D-4719-9E1D-AD71E3BE1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43DBB891-C4FD-4592-8322-F46F7686A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3ABD4EB2-84B4-4C96-A638-2C22A91D9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A0C86924-1C9A-406A-BD49-3A038B7DD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8F63CBA1-3B0F-4438-BCDD-DBBACBA06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309B137F-DFCC-4604-8F65-E6EC75E6D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B7DC7574-DECD-4738-9B48-2E7FE71B0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F7FC93E8-D8A6-4FA1-B7A2-D7EE63A8C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DBAC0032-27AC-4A28-A5E9-091463702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3CC00CE4-3171-4351-8DC6-CB13B2CAE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E5228D9A-F5B4-4E3D-9751-4EAD16CF5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10280C88-5FF3-48FF-B013-97BC09639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D7E0EE77-B707-441A-AB0E-2D3CCE400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1EF5211F-99C5-472E-A5B7-A740A478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10D57742-66E3-4565-8703-CA030F21F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7ABFDB17-BEED-43C6-9BD1-D0D32C1B8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6A7A5AD8-8669-45A0-A4B0-CCAB22995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850AEA34-5B8C-450E-804D-525B6B6D4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19652E8D-06D9-41D3-8DD6-8428AE1B0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2AFEBA0B-913E-432C-BC08-FAEEB9975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C4546C4B-0C35-47E1-9017-8077C1CEB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D9826D20-610E-452B-8FBB-36C2C11EE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7DD735C0-5A9B-40F7-B7CC-4401A5BE0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D5073D3C-F6A6-4CE9-A9A3-6ED4ED6B6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82861636-A2CF-4008-AF15-DEFAE6220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DA9EF7DC-F1EC-41D7-8715-0BB64781F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3BE198CF-6296-49D6-A621-9B22114E3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BA584F0D-BB42-4525-8C53-8ED13BE4D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047B9F5E-1BCB-4EB9-8617-CADD1035C5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A22BE220-5269-409B-B028-7475E3D16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99276822-FC63-4212-B7DC-7519EEC34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6E2847FF-46C8-4663-92C9-0D875EC8E5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E9B5D987-723A-40F7-A15A-2E4D1851D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A50EDE43-A340-49F4-93EB-C44F870C1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723B18F4-6D5E-4137-86B1-55119966C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53947F68-0CF5-4488-AFB8-25DEAA9ED8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3181739C-6ED5-4BB4-88B8-C334A03E6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52F2DD69-36AB-4A67-9833-0516D501D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16A93AEC-FD77-4646-9ECD-2B7A21AB7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E2B75490-9E83-471A-B508-168B76DF0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B256DDE0-BB8C-4973-952E-E1F0FAA96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399C7793-77FE-4093-9CC1-7CBDD82A1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8898C34E-D158-42BF-88AB-9582E4ED1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38A164E6-07F2-4560-B06B-AC5DC23FD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3B027AD6-EFA0-4325-A41D-83BB821D6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030A1F65-6EAB-4369-84D9-5175D3970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B9322A80-4C12-4090-95BD-DF7CE3734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702C69CA-A08B-4D5A-9D8B-2235EC705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A7454775-5940-4ADA-A731-94D4E10D8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6E25B264-C779-4305-B752-B0F592108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200F9DB3-A1DB-4F81-82D0-DF2993769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7F3F6BB9-9017-4D7D-9660-0521FFAF8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90E0CB86-5997-4CBE-9A34-38B65BC06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E2613099-6FE5-44D6-B7A0-BDEC5B541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89F91162-F09C-4865-A4FC-A86A79F0A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861F579C-F156-45D9-81A3-6BE02BBE4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C124F300-36BF-4C12-99A3-BA468A3E0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B513659B-2FC5-4EEF-BA74-D9DFC9082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A92451A9-3599-4C39-B8C6-CF00B4E0F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EE478B21-67C9-4DD8-B58D-25CBE8792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BA1AF8A9-191E-45FF-8FA7-EAA539515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65033267-A067-471B-947A-92954CB612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D03820EB-E492-49BB-803F-CC604573B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A9C95C55-2C77-4DDE-83FE-B7813B4D55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5AD0E5CF-3831-4D8E-892C-04B3852C3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2129EEE9-E4D2-4FEF-817C-4EB8002F15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C78F48FB-62CC-40E9-8C4E-A21E43E1E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1A08EFC3-7C1E-49FD-AE34-169737BD8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B8187304-0779-4FA7-B18B-5FEA0C70A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8CA88031-4C2C-427A-8493-D62DE074B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143D794E-9DE1-44CD-9662-B87998B35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2ADA580F-3FFE-43CB-9E4A-172C53D4A9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AA509904-67F9-4310-A429-5FC5C6625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89E3C7EC-461A-42E9-A6BA-1B2FB6A8A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516CCCDB-DA32-4923-AF9F-86095060E3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BE2DD941-A0B9-4437-998D-2C354CD20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4CAA49FF-12EA-4259-BBB9-7FF60EA56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83F1F0FB-63F0-4C18-90D5-10F9761ED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E65E6148-6FBB-4102-8512-CF58BBAA52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846376C6-313C-49E7-92D4-2D075F213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390DEBE2-C86A-4BCA-AA93-760AEBEAF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7A5F77D7-1B92-4F9B-9608-9D430D544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9E4A997C-691C-45F0-BB1C-811117954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89A1262D-9DC0-484A-892C-781D627C9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05E161AF-87E3-4715-9EC0-D6CF93894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073152B0-2B73-4E83-AA9A-15297016F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3BB87F8E-3AB6-415A-A160-CB5438D83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E64699CA-D6F6-45DD-88F1-053704320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B511C622-DD12-4C87-9CA7-1390DD8D4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D3931FA5-120C-49DB-AAAB-83B54BB4C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374317F0-073F-43AC-AAF4-C12B9DE12A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722EEFCF-9A5A-4DDF-979C-619B14650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4A1D5D31-1453-47B3-994E-FC787BB45F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CEA9C478-1665-43AD-A0E1-19A2BE38B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B8C6F368-65F6-44B7-AB36-D897975D1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F7B703B0-D01A-4CA9-AECC-37D5ED0A6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4A5722AD-1C0A-4B29-B170-F609DEB0D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FC5A370A-25C4-46D6-B917-A3AB725DC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B751A1AB-EA91-4C04-AB44-AA4D10013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A44FA7DE-E4F7-4596-A6B2-DAF27BF01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DB2D9DEF-9173-498A-BEAF-B97937DF3A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C8EE4F47-5165-4B99-BD1F-5EF96EF2C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2B52961D-EBD5-4E8F-A648-2D9290497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8C69355C-9D0C-4C39-83D7-ECFD12B43E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559D19F2-3BDF-4BC0-9A19-8641FD276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99BEC71D-B909-47EC-B872-4715320E9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FD408269-CAF9-4FE8-9AFD-C0D74DB83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BC293611-38D5-4B1F-B62B-E16F1DD6DA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3DA79EA4-0314-40D3-BC6B-02E35F3FA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19DAE2B1-E8EE-41DF-B155-3D3E9960E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0D042192-690B-480E-B95C-4DA99442F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7558FDF8-95D5-4A3B-AAEF-E104587BA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CC82B5DB-CCB4-4EE1-9E66-70DD97664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3A916FC7-8F46-4253-ACEB-FE0DE0A85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693C8EA2-58C7-4330-98B3-0A8F0271E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80DC764B-AC1E-414D-BA0D-FF5FCDC35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A0F164A2-A526-4AB5-A360-A3A534D4B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EB404D13-31C4-4018-A98A-D1E0FCB8C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7BD8B7CB-5DDC-426C-95B0-2EF9708EC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6384E6E1-379C-4A85-B9A9-78563CEF4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C9C8EBFA-88ED-48AA-8855-B902B4B81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584463B2-A6AD-42B4-B18A-23A906B61C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160721E3-F4B6-4B0D-9DDC-74A3C6E0B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26B306E9-8184-4193-9A8F-800DE43036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7DD7A715-3F63-4315-9DE4-3FE501C57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134A98CA-3A87-458A-9825-F4543DC6F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0ADB16B2-159E-4BFA-B65B-ADC940270D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4B8CB63E-4532-436C-9D7C-44986C39B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0030F02B-8BCA-4F2A-8E81-D5B487FDE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6B12CDE9-1A2D-4B3D-90CE-FD388B534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53B58A84-CA25-4136-888A-8FD28229A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BEF88A4C-01B8-4EDA-A57A-C31FD5086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894182C7-66A9-468D-B941-197B4038F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FF8EF02D-B216-42C7-B332-99DB7AA5D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6E117985-F2AF-413A-A71B-1547881A2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9C773E0B-3871-42A9-91D2-798BB3C22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66142DC0-A3A1-43AE-8ED4-B0B23ADD4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3B5A7D48-1403-4F11-98EF-4D3A4035E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44E965D9-34E3-4890-A492-867441CA2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442B01FF-ACED-4832-93A2-169BD73FE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B4392B78-C8ED-44D2-AF6B-7C6C83095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6E9B4AB5-3880-44D2-8701-954C6A360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5FD0E1D1-A2ED-4400-A3F0-13E59EE56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97DED47D-7E48-443A-A342-4068876B1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737B6164-98BB-4286-9FF0-9E13724AB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1A373515-8102-442A-BB4B-CABC878A1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6376D319-98FB-4187-AD8A-37F5721770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ACC5E55F-D03C-4F84-941E-A5E93154F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0DEB5DA0-D01A-4515-B024-AAFE0C878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5E492026-4F10-4634-B3DF-04F11D4E9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B9A20BB4-6582-4FA4-8958-CD8D9391D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87C7B592-E2C2-406A-8C5C-390EAFA5D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B8E12D79-A4A6-4FA5-A8C1-6BA3CC9C7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958F469F-1DB7-4AB8-A286-AFEC05A3F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26CD03AC-C927-42F3-8818-46D687921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C2AB8614-0C72-4937-B13E-6F9EE7591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7F2F0289-A875-4B85-B11A-A21417742D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05248351-6904-4C14-A822-874F6E8AE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DA2FE77D-3346-4ED9-9FBA-468903258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F0F9A81E-841B-482B-B473-071B8C6315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D51AA352-DCE8-43D5-8CBE-B278D45BE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5D5B54F1-02D3-4238-9713-59FC5965A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296EAC11-DDC8-49AD-A685-0249E22E7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FC538C6D-FAB5-483D-948D-8DF487930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D21D87F9-C72F-466A-91A1-E384F7AF4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C2E27F7E-57D6-4A91-8E8F-D8AC49141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22891EB3-6EA5-49BF-A36F-A3FE8E954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7813C686-A782-4E31-94D3-15849EA61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53DB3315-1238-4718-94DD-5C225E07F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913792B6-4E66-4E40-BB85-5378EC379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77E14E31-E8E1-47BD-AA05-E453612E6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EECB075B-6FD3-40AC-A04C-1EF11D5BF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A0C2AF8B-D1EC-4A5D-8F80-0741955F1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7D42A0CF-9B2A-4E5D-A8B0-8CD889AF6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949EB52C-C684-40F4-BC4E-5C23D0953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0BFE29A0-8DE3-434D-933D-6AF418ECD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2FE4D69E-556D-4D02-8AC3-1DFEAB636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EC11E2B6-DE4C-45D8-860D-C5BBBE6C7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A1AFDD84-FE39-442F-9ABA-A5A98DC28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E3890ACC-D1A7-4F12-B457-87C26CD04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02BBA7C6-EFB0-41E8-B363-9709E92F1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4D35420F-5CF7-4CAB-B9F3-2AE8439E6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643215B2-B124-4CAF-94DA-893A69E8F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3D9344BA-B347-4912-9420-89F18E5E3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01490C78-30AB-41A5-BCDB-52484906A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574E42F8-D6BC-4DCE-8D8D-B5832EA63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69FA00F4-D28A-424E-9E3F-E98588E59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EC0F8E57-232F-45A5-A3A7-B6E791F46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B48C50A1-19D8-4113-98CD-31307E35E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027C0BAD-D990-4B5C-815A-7591178E1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6709A567-FBCA-464C-84DF-9F8B84F5B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B1522C65-2C03-441F-8653-30D0EF5FBE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BD8BFB4C-6FE3-45A8-8631-D63AFB284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11C7844F-AB9A-4F45-B41F-0DBE531677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A50C5EFC-D170-471F-A85B-6773F6104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CF4C7C1E-C615-4028-9794-AA69CE968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CB5B6851-98B6-48ED-88B5-D1FB0C7A9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3585C311-358A-4C84-8912-58E8BA242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DA1A816E-47C1-4E0A-AD5B-8F8484815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29F32FBC-C3B0-4A0D-B43F-0C999A036A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7F8F9D88-9EA4-4F25-BB05-D2F522ABC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67D17F24-5665-4FE6-8452-50FEFB66F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F1DCC4AF-194F-4F8C-B557-C14199C465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5DA8712C-94FD-40E2-9F63-93C484D82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202B4973-4442-44FA-96C0-65CDDCE39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53186EC4-1CF3-43C6-A357-6341206E3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DF602D96-C459-4707-9CF2-7D3CD75F19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46E4EC77-4937-457C-9080-5E39E0AA4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ED861A11-FF55-46D0-99D7-7258D39E2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006F0788-11C0-4CD3-B25D-F71461AFD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35B1036E-AAFF-4A42-A850-9C40926F1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DFE6D3EA-5B34-41FD-8C39-CE6FE7AD8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7A91D663-290B-4A6D-BFE5-202BF64E0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8FBAB33C-7A82-4DC4-8976-86A084217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56ACA206-B7AA-4AED-AF18-E85DFCEF0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A46DFB48-CF12-4BB6-AC2F-402205182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0EA4938A-1151-4A11-BEBF-7A96D35FA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358C98B8-91C9-42B3-BFD6-B662199F9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4BAB9608-735B-4A82-B984-718336D92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89497476-20AA-4B7D-AB8C-B1D508284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EF208001-177F-4E7B-A229-F23604960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7A8F7DF4-75C8-4FF8-BDFD-01C9225C8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91E2D7C5-1467-4699-A6AA-F36F60430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A0D5CB60-94C0-4E2D-8FD0-2607370E2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045A7476-D270-4549-B665-57B0AD624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668B782A-EEEF-474F-BCAD-CDEAFD25E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C51D882A-715A-41CF-B2F6-D06149B80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47CFBCAF-F8C3-41E2-BC7C-8331C9506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BCEF57F4-E5EA-428E-8E80-AB1E53A85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4C123342-1838-4919-8586-30B342821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8C393F2E-D095-43FB-A567-085F896E2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C3EA39C7-C09E-476E-8024-4C5B4C872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1AB55AAB-C250-4462-84EA-A8AC97D2F9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CD668C8B-DB80-48F0-8352-B24FF8BF7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F4C8F16A-7E36-4648-BB34-5B582B57EC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64897291-FC24-40C1-AE0A-1DD8E8823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2E8D2582-8872-4AA5-A1BA-CFBEA2B22E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DB98FB8B-9A3D-4470-B047-41C722C2D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25E306B9-0803-4FDF-AB79-6FF6E6BCB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A89035CC-A682-4A25-8D13-1A98655A4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49AE62C8-4DAD-4606-9DB8-E46835EB0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C09AEC19-4A3E-4C0B-B514-17D21E600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8AAA06D1-397C-4AA8-93EB-7E5429EE16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6F16ABE9-F40A-4EF9-B0D0-5F04263C4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9EA06743-A9A5-4CE5-B2B3-77584A523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C49F90A5-B464-48B8-B6BE-EEB1C029AD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E7E0DFE4-43DE-4D68-9CF8-E7D6F3EC3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97130656-753E-4B9E-B7DF-309619BDB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5C317082-4EB4-419D-B4F9-E28744759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35F06330-C008-4542-A836-5F1BB67EC2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77F50837-315A-414B-85C9-5EB3EE7A0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8B016868-155A-4CF7-A8B3-6FCB58F5F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5CB200C0-2946-4A3B-9DC4-888007A21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1BF4A088-73E5-4CD2-9A1D-EE19B3ED9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A8819682-D1AC-488C-92D4-76D5B5620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77E0CC5D-D835-42B1-9BD2-E3A1D3A54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A78F95D8-AF8C-42F0-AB37-574296C3A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4DB25E0F-5C4D-4DF5-B2E8-7F10A137F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583F38F3-2CF1-4604-BCEC-E485B785E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7B57F29F-845C-4368-91AD-3157D6D3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50A722B7-5C81-4A71-9E75-683EAED5A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26137742-00A3-45D0-89CC-A69734BED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F23864E5-6824-4AA6-8F6D-023384203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9814D403-ECA7-47C5-AD45-5892C3320C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F932FE42-875D-454C-B826-3BA89CACC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95DA2C99-ACDE-4E46-B73C-671960D3D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4FD9D443-AC57-4E4F-9B9E-584A9E7CB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BB24712C-F2F8-4F53-99BC-C3BFCF532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816183A1-E057-4C85-8EB7-AB4F107D7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EE34EFC7-ECD9-42C1-9DE7-FE89303BA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A96A1F17-3935-495A-A5CC-C68FA33CC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1E82360B-C1FA-4653-8FD6-8B705A527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C96E877F-4FD5-4ECA-851D-8B98133A9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A02E335D-19C5-4E0F-9DD6-B3EDE52BB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F4B7383E-9C50-4EA3-989E-7D352732E1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4BF73331-A344-43D1-85F3-D733030A7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F0B6EA26-359B-42CB-8DC4-C7EEE785F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741A0EEB-574C-4CB8-BF00-F43C53F67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44CDF760-3D79-4EE8-B6E7-F49642EAF5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6469AAE1-124C-4D52-9D85-B8F4436EB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D685B1AB-BBB7-4066-A83C-FBCDF1E08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09387656-2D56-4917-80D6-761978633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EEB4357F-76EF-4A41-BCF8-10A8FEDD0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3A7E5AA8-168A-4633-9020-AA5928B3B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BA452C49-4B3B-4037-9457-ED901850A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0C1AB19E-F6E7-4CB1-9280-FFFE20342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C213B4A6-90C4-4FA2-A0F3-EF5BA3F15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67FD15C2-BE68-41AC-B320-B7DC38340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5E0084C7-28D1-46DD-A67C-865103A9C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48FBF458-0ED3-4FEB-AEA4-E876572C8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B3E0343C-DDD8-43EE-A0B2-E095F3413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6EC53D22-1088-419D-946A-CD71019FF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F6981629-9719-47E9-8BDC-6683D012A9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7B335823-8369-431E-B401-49A79D1CA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D6B32E57-3618-494D-BB3D-F63CD3A854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AA967036-E1B9-4443-AB0F-533A92559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AEBAEC98-4F6C-4086-9901-DBE5496A9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F9A6CAF2-C2BE-492E-81D2-6CB8F0DB0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4D3D5152-E152-4812-BA43-B8620B21C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19805BC8-79DB-45E0-B24E-800C76DB5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C9355184-226D-45C6-8B17-FF9C62F94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6A853191-22A0-413C-8E58-ED055C1DC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939A601B-3171-4117-8E79-FCB004A08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B32E0E07-C362-454E-937B-93B02BAF1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D4C06C76-52A3-48A2-BC88-DCAA947F5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77E982BB-7787-4F34-A2E6-8CFB02956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D64A5317-CB52-47CE-BE86-0BB5391C6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2DC8F07B-5CA7-4EC0-AB9F-8FF7B28E6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07311477-4160-4A63-B4E3-ACC4E2E3F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D4658681-4F2F-4A05-9FE8-85043D4A4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AF42579E-BD82-450E-A1F4-CB98A6277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6A4CBC5E-0713-4453-B13B-C049F90A2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2EF3E97F-E8BA-4E78-A362-68B1AEDCE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6494C7BF-B538-4665-A7B2-D1F1A28C7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664660AF-17B2-49E3-8CB8-C33EF6D73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14F58E45-0AAC-405D-9018-109AF40FD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40D884B8-D6B6-4811-A1D1-FEEDC8203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B1A5A77C-93DB-4E2C-91E8-CE0A8769A0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DD611422-DB26-402E-BBEC-6A161DA6E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B89F7CBB-B7D8-49A0-968D-94656A89E7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01A7C5C8-3D26-476F-941F-E330E7339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E4D416AC-6EA6-4D4C-8642-D48374C149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B1EEE8DB-FF23-45F5-9783-896963466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17EA36FA-67F0-49F5-A083-B7DB959D3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5CDB4303-C420-46D9-AE05-903E11CDE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74F98B05-12B6-41A0-8A71-E297951EC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A0AEA436-BF4F-4C65-9EA3-1BFD31C8C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5D37998A-1334-442E-864B-041DD79B2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28EF171A-1F12-4CBA-BB15-EFF0F1634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E5C49676-1D7C-4E04-A7DC-A3381DA33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1C500B94-C91E-46CF-A0EB-7720D4EA2A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35599B36-54CB-485D-B144-85459B199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25A1CE82-B847-4081-A8CE-8190BAB45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4D109E90-8FB7-4AE0-9495-7B470E7B1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EE81B064-8211-4E7C-B8B8-8410CD53A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F1FC6E95-9424-4BFF-A1C7-013E41DCA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FCF8DE88-8648-4CBB-BD47-36C9829D6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8F8DBEF2-7D6C-45A4-877A-B9030F745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C5557EA0-2D6F-4C98-AF5D-CBB05D9A6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49443B10-2E01-4544-AC1D-425DF85A1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48AB9526-D782-4D49-A7D1-AC6183D21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0D3404AC-3752-4BE9-83AB-A6B235F29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344370E3-3EDF-4EE5-9C47-A97733A3E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B55BDB21-822E-4FB0-8D3F-AAFAF996F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40FCEA26-EC19-44B5-9C64-0328CD42C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49F7628E-496D-4C01-8DFC-BEA197C99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3AE86274-E20A-42A0-A719-F7E984D15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67B4106F-F591-4925-8E51-C7438274A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1477D12D-9D54-449A-A296-2AE2F3EA2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BDAC54B5-F7DE-4CCD-A9B1-D7ED83AFD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DDEA064D-3C7D-4ED3-801B-5FD3B765A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B98C9137-13D6-48A8-A52F-53B3074FA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E42EAB74-F2BF-4E00-95A0-A991EC2DE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2E049B98-9BAF-4805-A1F1-0BDDE653C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8D7AE34D-CEC6-4D9A-92D9-BAC19ECD4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3638B9A7-3C16-43DB-8D10-CD6DB4A6D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18412DBE-05CE-43AB-9197-2C1784AA5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8EAA3329-1864-4F2A-AC3F-5CBC77CB6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48F1298B-CD7E-4A06-BBCF-CB9C85854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9524E4B9-B290-460B-9398-01D01DB36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FAD0DAED-C4EB-4BE1-8CC2-A1A654B18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5DCFBC17-9050-456A-ABAE-70A01D679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41D0BDAD-117C-452F-A466-2E78B63D02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B21355CE-04F9-4241-BF8C-2C1E669F2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0A964EBD-29AD-4A63-826B-83567320EE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B231B0C1-10B0-4164-AB74-D1ED3A6B7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1A21E788-B045-44E0-BCD4-84D5AA16E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3D1F9E70-1A3C-419A-9149-95FEE2928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B07D07BB-EF52-4500-9AD7-B763D047F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C6871108-C2C7-41B0-96B1-FAD7148C1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E48320F0-B231-4697-BDAD-E3F39558C9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09F462E5-77CC-4F45-9B34-FFEB9CA7F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9A89317E-7852-4706-81BB-E5FE7D6B5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99E0979F-683A-4C60-B2B1-FFF982EB96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07746BD0-BD4B-469D-813F-7A8BB2345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9A46D339-2FFB-42D7-BF40-C468CF003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AA7CDE87-3096-427B-95F2-1166DAB40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152CADBA-28E2-43D6-B0FD-ED029C1A3B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B3246C92-5FCB-4B2D-8AA7-977112FCB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EEF3DB0A-BB81-4599-B4F7-5E1BA4B6B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DCFE1344-3B30-4DBC-9CC1-E8387EDA5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F8751D5B-7832-47E3-8CB5-D85CD673B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8E401F2A-F79D-43F7-8E2C-6C5F7A0B5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B39ED0FE-A018-4535-946E-06289B55B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F8CAD9F5-E8A5-485E-B2E2-0AE7B1426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94BA6126-C827-4F1F-91BF-6C632302E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75011AD8-1464-4592-87A6-56DAF4677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4D9654F8-88E6-4719-8096-549F34221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C539C5AF-0131-4864-8227-2C36754B5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D3F83279-A36A-44FB-80B4-537DB63AE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4ABA2C5F-14A1-4DC9-ACEE-822652955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3FA0BA8D-C3C7-45AA-8AC3-842BFB4A0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3C50FE34-1E51-4389-882F-525F47A1C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E37F7A95-0FDD-4B6F-9FD3-9CAA30018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0C449142-4C17-415B-B13E-9CC4AE39E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C1351842-DA63-42F2-A97C-681D67CEE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5613CC8A-2A45-4A6A-90A3-1CA5A2B78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81859C55-FEBC-40EC-86A8-82BAC710A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12A71598-5948-4507-8E06-E70B98136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6CA7FD5F-0D1A-445E-AA55-CBFA5CC2B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82196F43-520C-49F0-8DF9-60E3989EF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F107C472-8D5B-4D3E-9D5C-C38E6AE58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50FF6A39-9574-4A22-8488-71E310C5A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41DE8C20-9839-466D-AB72-16CF84B41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9A7FE068-FF08-476F-A4BE-D0FCA3C77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AB10AD14-CE2D-4E3E-9896-F96EDEFBA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50FAF29D-095C-48AE-A224-02DB82815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61222651-0575-4CAA-A6B0-3F4BA229F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19584612-7BD8-484E-B942-2B34E1A14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FF916CF0-6DB4-4DE8-9FF6-16D7550F77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21337443-D69F-4ED4-9B81-98FB94435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7B3F7292-007F-48AC-8A39-FAD437EDF4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E51328EC-9DF1-4059-9BB6-7DD8B3B25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ED812386-488B-4985-9CF5-0B45D11140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026A6AA9-9C6E-4DCE-8C26-43E984F9B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793A9732-CAEA-424F-AD5E-D001ADE24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00DCF924-8F71-4BA9-99ED-65FD405D4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569D4561-F0A3-4BE7-8A51-31065AC2A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4D87B83C-110A-4724-8789-8BA10DC6A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A1183B74-67E3-4A27-AC05-CE7200982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D3C0A0A2-9BCB-4012-8717-51DC6B9CC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A593321C-678A-4816-804E-DC6A3948B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7F57809C-B7D0-437E-B9D9-6683A1347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70B609E3-8BD4-4B40-82D6-1BBDFD03B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D78AC858-703B-4554-91FF-1D403747C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90A50D6A-A71F-4C3B-82FC-64F7D024B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C725F6C6-FD9C-4AD0-808E-14F9F8A595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204C0608-6DDC-45AF-B3E5-3FE06A0BC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5EF794E2-4F03-4A59-8002-A456D16ED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D19065B9-60AA-4325-A06A-9159F75D5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0C77FD1B-FDE6-46DD-9DF9-231B5EAF3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63CED02A-249B-4CB9-ADE0-D7EE739F1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DAAE671C-2B6F-44A9-AB8F-DBF14A314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0CD3005E-0415-4F88-81DC-67B84A95C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DEB22CBF-DB3F-4AF5-A532-9BC489796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F21BAE6A-C4BF-4BE8-85F4-A971AFBF7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D4DEE192-4008-488A-83AE-E1569598A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59B28CA4-7327-4D89-ADEE-CED9B44F2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4BB89C14-8B63-4413-9B64-6C907510F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0B7D94D2-4ED4-42CC-BF7C-C869688E2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D52E8A01-75EC-4E8A-9B75-09408FA9DF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3DD1074D-7866-4093-99D1-A0889040A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D9B01E86-DBB7-4000-A4F8-563EB3F2D8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83B7C37D-8050-4557-8735-90CF045C2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F9D945B6-B544-41B2-B0CA-EDFBBA660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9F1C5FCD-9A3A-4655-8547-755C962CE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D34FE842-FB12-478B-954C-908453E69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DE4612F7-AF65-4B9E-B25B-FB077B31F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E4DBD7D0-C271-417F-919E-9032F92300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41E12AC1-F9BE-4CC9-8E6F-FD07CD988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5BF45373-DFCE-4FCD-B82B-811C22118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353F7098-AA8B-4335-B4E9-D954BD539F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DCB63650-3DE7-40FE-A2B1-098BF2D0A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400065FD-A85A-4063-BC56-FF7424489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A2EE5660-8671-41F2-9859-152F38F4D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08298141-DCA1-4CBF-9C2C-5BFEE6FE8E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A158F5F3-52CE-499F-8BDE-AFC283FB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D7C91C78-6581-4C7B-AC16-4C26BCF5B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C1CF2EF3-1636-4905-B126-241AFA35D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B8C67E36-0FF3-43B7-B3E9-0BBA4D593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EABF5E6A-7B32-4A07-ACE9-8311C8653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6056020C-FDD4-4036-99CE-60DCE9C7A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0E0F7219-C314-4E8E-A4EA-2A1CB93F0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5A8BFFB7-F506-413E-AE7D-10460361A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2A32EA1A-7B55-4BE2-B7FD-1DD903E2D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3E3100B1-391C-4830-BEF1-6855ADEB0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3C54DA82-6E78-4681-AE77-D652DD3E3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926C7B36-C339-49FD-B19F-4DF3FDC3B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1FB86372-0061-4533-9239-FDB36F688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3B4D204D-80FB-49F9-880F-8AF0C03C2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F348A95F-C6FF-4D47-B4EA-05E82C1F3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9D84D968-588F-48CE-A5FB-5B73D649B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5ED788D8-4C03-4111-B8F4-F1E31DAD5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A25384A4-F71E-484B-900A-A7A3E04A5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A18C28B1-4074-4D71-B309-43F7145FA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E4D874CC-F58F-4B8E-9DA5-DBF5DA1338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F4AECA70-8759-4208-BBDD-FD072589A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9C673C5D-5D8E-41B8-A71B-1C2D6427D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4DE303F7-B849-4F67-85B7-91B240B70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E78E26FE-5A5E-4355-9427-7F82A63A4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DD043303-22F2-4AA8-90A1-2A27D5949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8A0E185E-296B-4818-86EA-0173B6D3F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8E1117C9-C46F-43C6-8E93-84BFB46A5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20EA6937-D5F6-46E4-98F5-7941AD978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50793E5C-E557-42CF-8218-52958DDDF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C8BDD141-5891-4CCD-A37C-89D8BAD3C8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8C011CD2-7468-4A9D-B92E-E860E4F4B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E84B1ED2-53D8-44AF-81EF-DA052EB8E0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9B077963-5B95-428E-972F-122A4B642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DD51A99A-D5AE-40CD-8C18-F53AEF3A9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5EBCC344-6CD9-410E-A090-C2F48C2E0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2AAEE1BE-F18F-456D-85B6-2CF793706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B375171C-7EF2-4CE6-BEF4-853325B46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B7A319F2-6554-4414-96E5-3B03643BD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1431FAC3-F830-43B4-AAC5-0F673662C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AB7CA517-D708-4CF3-BA30-392B3F7C2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607BD9DD-48BF-46EE-97CC-83896CAA9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A126C3DD-AF1B-40AE-A877-0EE46A648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05152637-5473-4E44-BB2B-62F4180BF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E6CDF622-130C-4A82-A5B0-8BF40BC2F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410BC6DB-891E-48F1-AF24-CC2419E02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03BEC203-4D2E-405A-ADB7-B86BBCECC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6F94D657-9D4A-4C3A-A0B7-B3C810E2A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44023109-DFF9-4F31-803D-0617A289B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341050D2-D31E-4BD8-8531-33AE2A49F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537C0F3B-1BB9-4221-9F86-B978C6BD6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4E22A1E6-623D-4E6B-926A-E63123C76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743C145B-92B7-4F92-B7F3-3D44362826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F7BF8D08-E46E-4895-8EE5-F0E14B8A5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85B9217C-FE46-4B9B-BD83-0769036F63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624B57A3-3CE8-4781-895C-3DD97C1BD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642CB9D7-0AE6-4494-8713-2BC32C324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66CA896F-1041-44BD-B52B-3E5C95E01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D91421AF-2665-4ADC-A9E2-09D9641BA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D2022469-B89B-42B4-AB8A-D19D98DA2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E9CADF45-1482-4CF3-BB11-F9592697D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93EB3752-CD74-4D25-B36E-51A97B123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78E652B7-6905-4173-9EA9-F274DF6D3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6773F801-F63D-4D4F-806A-7ADC7DBD1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46E950C3-C1E6-4BA3-9F79-F688C2000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6D3BDA2F-21EF-48BF-A392-25D6BC9CF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0E333E4C-4A0B-4081-B4B8-9D7632BE9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96532BED-AB3E-44B9-BBB1-662CE3B07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8B367884-7AAA-438F-9335-E184058D1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F6B4A234-F78F-4B5C-8275-22CDB3515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CCA8ABBB-0EF1-45F8-9459-14277EB8B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A404B2D0-A709-4ECD-B2F2-642DDC392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BCB1443F-590F-42F5-867E-EF61007341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CAAAA8D8-EAD7-41D7-854E-7E820F60C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228DB173-7073-4174-A45A-BAC200B39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BD7C5121-9EA3-44C4-AD50-B37CAF067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6E0011CA-629C-44EC-8C8D-4831FEA08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558237DF-305F-4F52-B5CD-C9477D332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37E642AE-D9F8-4E4A-B3D7-298F56CE7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6AB5D7D9-F64C-4BD9-8350-2B635D5589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BC408FB5-DA2D-4541-8582-9FC6160FB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84D80A6A-1AC8-4CE3-8735-BF3450C0E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ACA68D65-E0DB-4925-A289-2BD9DFB05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ADFB9515-EAE0-450D-B468-EA69271E5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80720351-624F-42B8-9519-181BF8AAB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4752116F-5199-449C-9763-6B69BB075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330319B5-BDB3-4A50-9E5F-9EDFA9BDB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8C890AF5-17FB-4C6F-AC19-EA5E99B15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E7462CC9-84A2-4872-9DA0-016200AD9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79177C43-B1EE-4746-AEB8-1096EF51E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9AD82467-FA63-4273-BA93-1235AC6E9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FEE05BBB-F892-47B8-B6CF-D8BE3F290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3B3E9236-4BC5-4A29-B962-850FB9608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A74E94E8-45B3-4D20-8DF4-7F450EAE50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8CBCFE04-7F83-4898-A582-868673145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57646E52-FAB4-4182-BD60-0C27D5C0F0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890DE553-1DC9-45DE-AEEE-CB2727840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26378A3E-EBDD-4918-94B0-A8FF7C212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F950C8FE-3A5B-429E-83F1-B5CD6F8E7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A319BB3D-E887-4487-A45F-2D5FC7B65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235A434E-6732-4135-9D09-D86747943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73CFFD7A-72A4-42BD-86AE-64DA7F244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95FFA6F2-B82A-443D-B343-A7145B7D1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89E29735-996C-4FE4-9F03-6776BD656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32FCF747-27FE-4C15-8681-EC735CF4D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E0C0E4AE-5C5D-4D9A-87D5-5A151BB05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4741342A-AB0A-492F-9CB4-E7C3B9869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646DA496-2084-4A60-AAA2-BB0ADB4E7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8A6DC7E4-28CF-47F7-86F1-265102D9C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5683120C-8FAA-4406-A574-0C26907D1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3FD5397D-8888-4D23-A225-6BB234A6E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7AAEB3F5-00E6-4264-91FA-C88DD0A5B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146013E6-64F8-4E19-AEA6-4A9E79D7E9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27A47E46-587A-46CC-A2EA-8A53D524B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C5866ABF-1173-41B6-98E9-65ACCBD39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17D0A46A-FE3E-4A28-A36F-E79763389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1BF31A6B-BB1B-4CFA-BF68-4D8A337F4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39CB070F-AE01-43DB-B65D-AEAD27AA6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42ABCA65-482C-47BE-BB00-D8034731D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7501807F-CFBD-42A2-A7E4-F401B1872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7CFE5748-CB91-40EF-896E-19E500CDF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4D214DEB-F3ED-4F87-8C18-3D9779E81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70BD53AE-D5ED-4054-99D0-E3BD1E3BF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B0DA27B9-7B29-4B94-B40C-A977E6CBB9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51B0ABEC-18AB-4493-9D72-2E6287915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5D7D65B7-94A6-45E8-8319-51B334AF3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52F42EFA-35C2-4F13-A284-EE10E1337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6F8C8560-9C93-4C86-9157-0BC3B9E62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53B0198D-8F1E-4C01-AD14-F15A53275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78051C26-480C-44AF-813F-A24EF02EA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4FACAC19-468E-4ADD-93B3-DC9FE3031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BE74EE8C-E8F6-4B95-B6B8-A3C2603A5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445E0ABE-5262-4E80-BB87-06AA67B5C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2AE35773-587A-4347-A930-6F3EC6316E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62211A1D-B7B3-40AD-88B1-270F0D614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D38F8570-73A6-47D7-824F-CB6DF58DB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828DF9BD-CED4-49A9-B460-81FC29186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EBE56E91-62DD-4338-A675-C4B36E7FF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83B95975-98DD-4EA2-85EB-BAB8116FB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64770969-09E0-4837-AAAF-45F75B3BC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EC2C9BEB-F09C-4EBD-AFE7-A6D612F1A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F7BDE10B-19A3-4990-9258-9534D1F13D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890E28B1-928D-411F-9CA0-75F500451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6E10400A-EF8A-400C-A519-5A9F168F7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BBF0EC8C-3AB5-45FB-8B11-405026CCC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A8EE2AC7-4C57-424A-AF09-04D3A6A1E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47AD3389-0836-48B6-88FF-626198E9F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3FF857A6-7E90-47AC-88F7-D6A3D19D1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C8C01312-58AA-4293-94CB-21CF4492D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077CA716-1FB0-4E51-9543-5B75F4114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1F3837B5-C451-4179-9C0D-DEB78C129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3E89CECA-D892-493A-A77D-9299DD6A8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79A4AF0B-7F32-4713-A36F-6DC2C3806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56B9E8AB-0EC9-440C-BE9F-C4CC17E63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0C92DB3C-650B-448C-BAA9-5AC9F139DA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39420FA4-5B6D-4AAA-8771-FE6AE203A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1203662C-AA26-4DF4-B7A3-F9AA0C128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2B7594E3-8655-4FBA-8F7F-91BECA79A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92218057-2EF0-41FA-A01D-BB05131F2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189A3AF0-A6AA-40D1-BDF5-51813C5B1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D9AF21EB-2052-46B9-8057-A50255C15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9234979D-FA2F-482A-BB54-F95E79542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E6BF5DF4-F741-46FB-AA97-663576613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A5438FC5-AB95-4723-98BE-C566457339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CFF91171-8D1B-4320-B796-4E9CF2274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F472AF74-5C65-44AB-AECA-D20FD6042F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91E49E29-6CFE-48BE-9C8E-F5FEE7BC8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959A100E-300E-4FC2-94D0-7D54767F3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A031BFD6-B8B2-42EB-9C83-65FC17830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721A09A6-4C69-4E08-B959-C0D47F165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84B9F64C-946E-4A79-B794-E8B1A29D94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76706630-98B9-49FD-B6B6-6F73FCF38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6F89C073-750A-4A54-9FC8-6BED140FE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EE03966B-2C9A-4F36-8023-83462D9DD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2AAF1489-C0D3-4F53-ACE5-E02F754D5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184543DD-7768-4396-9204-B2681CF0C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4BB9922B-8A76-4E00-8C54-5FCBAFAAA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B2593730-7641-400D-A506-140AAFA02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2758DFED-BBA1-4C03-8E8F-5DBC3A4F4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222A28A0-5ADF-43E4-9B3B-81FCC5DAF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193D08F2-12D4-4BAD-8F74-B01DA73EC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F27A2C54-A706-4712-B27F-668706B8A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8D240AB7-0476-4C36-B1F2-7BBB29EDC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554B180A-7F6E-42AB-9698-69E0AABF6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26201A16-2E8F-462F-9EEF-5250D5B86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89E08BBA-5458-4B91-9035-ABE39E23D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08DBE35F-3BBC-484A-925F-742B2FBF4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7EFF5697-5168-4262-8374-76CD345D4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251C32D5-B450-4D75-B842-5BA9CE9C4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B6D63FCB-F6B3-4866-B6AA-6ABBDF59D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76149B13-0651-4C59-899B-472E52552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3295CA04-768F-41ED-A671-C451D8F37A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A7CE6807-9BDF-4D04-8202-17B106631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AE32B2E2-9B31-4935-A928-319AEA322C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3D8156C9-1A99-4D33-81A0-1D273E24E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01421883-F55F-4AA2-A298-F0786E9845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AD430D6A-4762-42E1-8F07-8B9EF0653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57A1E6B8-F757-41B8-B879-3D7C5226C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24F212F4-ED3F-4432-9DE6-DE242DFCA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4BC509B8-B023-4094-9646-C89B0A2DF3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B4745193-62DF-41FB-BF5D-BA470F8FB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021C78C2-DD36-4DAA-BA66-1314D49E7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C48C68A1-DC3C-4FB6-B0F0-AA33B78B6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FEDE5353-554C-4B57-BF3B-17004389C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27C028ED-1D2A-49C4-8C32-31DE78E80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CFAD4ADE-4491-47FB-980A-ADC9F3CF2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4C66EF3E-BE81-4F67-9605-FAAF8EDCF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3BE614B2-A16B-4D65-9790-FDE880B13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20B20BA0-EA24-4FA2-A1AD-CE3264FF3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797755BC-49A0-415B-98EE-FB1EDFEB3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D9EEDC9E-EF79-4E11-9AED-D9D693EF1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3A6AF804-2C58-4850-A6CF-02470B335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122C6F96-59C0-4E8A-BD0B-CE0786117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AA639848-370F-45EA-BE08-3DEC1EB2B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1486FDA9-2369-4953-BC54-FDD6741D2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6887A75A-0CAA-477C-AE72-1DEE26F04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9BF3E54D-876D-4F41-8725-15A2EDC35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DE5C7D2E-4670-4737-AE3B-F74A7CF14D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2EF1F098-F96A-4C35-834B-F01BE85CD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2BAF75ED-F48C-4798-B66E-BBFA667F3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1CBD0CD9-C2D1-4201-A917-586D0CF3F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C76E4E94-1C08-432C-9590-BF36348F00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0814C0EB-B492-452B-AA09-31BA18A09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4F90E34D-23DC-48E9-94F7-EF833EB4C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6049811E-5C30-4B91-AAD3-62C7D0FBE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82752BAB-5384-4599-976D-AC0F52E5B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C7F2DD60-9AF3-4EA7-B6D1-8665D7F70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11DBBF22-F185-491A-994F-4D4628CB1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0579AF0A-8826-4D59-8199-475C44F52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3E0DC721-4071-4F74-962B-A6AD4E918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0A5BC4CD-B634-4A20-983A-430BB43D8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B98E1907-F59B-4530-BAF7-CB4EB2D3CB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D3C28D9D-E7CC-4DF7-BC57-1288628CE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93836067-81BC-4998-8FE0-9CD82078BD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3B3CE701-454D-47DF-9E3F-822A7DEEA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771F95A3-9164-4D11-80B3-3C9AEE2A8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6A0405EC-C24F-4C6F-BEE3-80D45921B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0C97BC94-F4AD-41F1-B399-1A63EDFA2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CA8EF4DA-B97E-4B95-88BE-1FC9DA8DA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72C99BEC-E04E-408E-9803-F60B3FF19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E3E86DBD-4594-459E-9431-C5443D3D5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85293C0D-D423-471A-87F9-7BE072F85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121A9004-72C2-412D-BBB3-949399110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5216A7D4-5463-45C7-B6F9-C27FACC12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334EE09F-5C99-4808-BF8C-B7532818F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E9A931D6-CE21-407B-B25D-516731F6F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2A23904F-A8CB-4E19-B853-A5DFD64E5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65B27C07-3A5F-4C5F-82DF-CC688C0E5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6A7D28B5-F7D6-4B66-A86D-BAA2FB080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95927DBD-1A26-45A2-8306-6C83060BB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EC9C581D-D4E9-4558-A333-3462494CF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1E0E61E7-C12E-4646-A9DD-FA3E320D9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867242B3-6361-42DC-8DD2-81C797CB3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E2D83598-BA3F-4D1A-B6E1-BA8547311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CCC03490-3587-4812-86AB-EAF02AE16D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2427811D-B406-42BD-9062-A0E25C347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FA9EA186-ECA4-468C-8EE4-937B0F455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A5C73C74-16FE-427C-830A-844EE5D90A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E35C272C-A90E-4871-87BE-33DDA50EF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0D79AB94-28AB-4290-8E35-EAA32E441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80CFCCF4-EAE1-47BC-9F72-EFFB262A3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6DDAFB38-F072-4CC6-9A69-63BE5C475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434CFA61-551E-4B3C-ADCC-C861E0B67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A5741015-10ED-491E-974E-5E8C12F3D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71F99335-E7A2-4DAB-8E64-0B87AC8F5C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9A52C5F1-CBF5-4870-AF51-9E6795F55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574AC3C1-005A-4250-BCF7-677AF8318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FB55BD16-F7DC-4807-9D49-0BAEB350E6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5A32F38E-EF9E-4B78-B512-27A4F1A8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D0042B0A-BE90-4C57-9B64-27B4C34EC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E984407C-1612-4A6E-8799-DD0B14E5D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5386FE6D-FB6C-4501-B689-49B59C423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7664F3ED-90D7-4259-AC61-422F478D6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096B4FDD-004F-4326-814E-B2EDA2187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2AE16A4A-8430-42E2-B6FB-E05504275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39C2B0FA-CB72-405F-9DBC-221955B37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336282C8-86C4-4442-A115-94E2BAC5F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F237E566-C082-49EA-99F1-E3046BA1D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D5B26323-C0D4-48E8-B0DB-3691CB979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CED66BEC-6CA5-42A4-8F69-BC3C59630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4DB3CA1F-226D-4DBD-BE34-88CDFC4B8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C667F34D-01FC-4F3E-A1C0-BA2559636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39E40E77-34FD-4535-9DB1-2176896C5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8C3D151C-6175-4C99-A6CC-1A00F4107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B6B3C238-2D09-48E6-A2DB-2F6F5F92DA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1A0F0212-903C-4ADB-995E-257AB84B5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D81897A2-E7C0-48D8-BAF1-48F25196F7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A2058090-E4DB-403C-B252-4210D7F00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1DF7448C-9D1B-4A17-8FFF-A0411DCA4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6C2E2E56-2944-4866-BA7B-4AB9D907CE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F09E8EE1-136D-4ECE-88B4-424E5D52E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24A68E07-2EE7-4553-B887-7C56962D8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A5318A62-BAD6-4335-A44C-03AFAA56B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82039EF4-3E62-4638-93A5-9CE8DA238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21C884BB-1121-4B35-A38D-B6713CF16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72590548-930A-4638-9441-5E9385F9C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2B7A116C-F68E-44A7-8111-59E96393F1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5CA6DD1E-C62E-4354-84BD-989D34DE1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3CA3C432-D550-42DC-84DD-8CDFA04A9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C9B74289-125C-43F0-916E-963DBAFE6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6530ED04-942B-47B7-A8F5-0395767B6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21045395-92B6-41E8-A116-EF3C39F8D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7E06C8C8-9DE6-4394-A279-FE3AF28A9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E22AB309-99C8-46C3-93B2-A5B487DAA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A8523A63-A3B9-46E6-934C-110E6775F1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FEB126FB-02F6-4C78-978A-11EBB4663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51885465-1839-41B1-AE96-F8E037F97F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720794CE-251A-4A85-A3FF-E54319F7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BC689106-F58E-4A8E-B634-EBF00A038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2B9B6338-5499-408D-9E4F-B08CF2E087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D7D61811-339D-42FE-8E42-0AC17F67B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721F705E-BDB3-4B0F-B352-49A60ABDC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E85493DB-5EA4-4707-95C0-AC32EC31D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1835C5FF-1B8F-4E79-B1C5-CA210CF52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4C46CBCE-0580-4672-8BF0-D0A1236555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37E6FA0C-B5E5-4181-AD60-E98B91D52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E6E54C56-1494-45A2-AABB-435A8DDE0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12DF8F70-CD01-4371-9EAC-726D1ECE9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546447E6-7B29-4F90-A15E-20D9822E8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43B38305-C248-4004-8504-B91F1DF3C0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28E77D52-CAC7-4593-967E-633E8D355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54E27C64-A1A2-4123-ADBE-E6826BC05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AB430B15-4C93-4B26-80A7-348C8D23D5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9FDA9F99-32A8-4A9C-BBE9-023DFAA93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7931E421-4916-4200-87D1-FD981C7C3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B0A5026A-A773-4EFB-8BFA-02F0CD145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D1099F56-0FF0-4B15-81B6-93ED61C83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100C1697-228C-4572-B1E7-B1520E999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E8733660-FC2C-404B-A274-E7EFAB7BF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7E943F93-3D35-4C75-8E9D-18D4210DE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554CF12D-A4FC-4EEF-B5FD-A417DE3C1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D547054B-4EFA-48D4-94E6-A91286B0E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3A5BCE5A-FFB4-4D5F-8B2F-F61D7E129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1969B96D-CD39-45F8-A81E-271E8433E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1406D436-D208-453F-8217-9A16A69E5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83A843A7-B37F-429F-A02B-5C037EBE3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48A2573A-265E-480C-9F26-9D6B74CBF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0DAD11BC-B1ED-4B21-84C2-45315E979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44F1F7CD-B017-40E0-AE9F-6323163A8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F97C973E-D18D-42AB-A810-96903B643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4A9CA70E-FE15-4280-8803-794828024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4489C4F2-125B-4EF2-84AA-746BE2D9B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64EBD683-6350-41B9-97FA-33F0D4FB2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BEE216E5-7FA5-4038-BF52-0926D09E5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56E84E34-D5F7-4E8A-B56A-54F043EED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83B4A511-2085-4C92-A277-33FA9A5E81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C0A95185-22B1-4E7E-88FB-4141B192E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DCA16369-57BD-49D9-91BE-10114D88FF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FD3DEA8D-CE82-4248-9A6C-D2C25BA8F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1E1E4E75-0570-46F6-A3E6-EAC50B9F7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0C76D19F-49EF-4ECB-9A19-53EB6E515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0B0F4CD6-8C5D-423B-98B0-2CD269995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FB32619E-7EF9-4DDB-89A5-F985DA2C6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4F23A685-7F88-4187-BC20-C9376F9AE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BF756F7D-04C1-46D7-AF0E-9B7A4BAD9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EC126757-7C15-4C93-BDCF-36DA0E774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BBAAC1C8-9050-4582-8A9A-164A40416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EB1A338F-8AB5-4096-99D1-59BF370C7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58B33E37-D491-48CB-B371-9027F0DD3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24379320-1A97-4FE1-8E52-8CB670CAC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4659A183-B315-41B7-A7EF-303DF2DB2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E8939532-FCEA-4249-A809-949672083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90E52F2C-260C-4148-8807-791A9077C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AB3BDF23-919A-40A6-8088-BCFBE7D28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D0D93C8E-4A61-42F2-B6BE-B1C1B5656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F96BD83E-984A-4E54-B4EE-65A0512BF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F513FFF0-7E25-4626-98C9-5CB03F738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8819DAFD-C72C-4C52-AE56-0C2E3A5FD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8604958B-AA8D-4886-867D-E5F165428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62184916-F4AD-48A8-9769-9A38DB9FB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24604EC7-40EA-4FBC-83EA-D0B67810C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3B1CFC57-71F4-43A3-8DB3-CC22FA632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6D8BF718-CDF7-424E-99F4-A07D6CAF8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50EAF478-2152-4043-97E2-E7C536F0C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47117F1E-5F3A-4EB6-B549-CDD59D088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6A3E6EC3-70DD-4A92-8B43-37277641F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E4AB54C7-55AE-40A7-BA7D-F1AFAB7C1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ADC34818-AB29-477D-8C9D-0243215E9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BE5904EB-77CF-479B-AF01-9EFD238CB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ED10088F-AF52-4AFF-9AB6-2E74CF621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CC5DBEBA-6176-4672-951C-77EEA0564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07FC72AA-795D-4490-9338-89515369A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E81DF6D6-0F54-4EE6-AFF6-856B73D08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81F49E0D-6E23-496F-AE19-51525B943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804FB9C5-AF2D-4806-9335-918C67B83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C3220560-A52A-4FAA-B6EC-C2D2B4DEA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ECCCB0C9-E19F-4B1D-B17B-E26BC93A6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8A3DA0CE-1AE7-48D8-90EB-17DCEC179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7F169A6E-5EFA-43AF-B666-8361E81FC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1480AAA3-7DE6-408B-A042-113A35ACB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F7EB5893-3D51-42E4-89CD-2A61C251D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30650762-7443-44F8-9C11-A53295D81B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5BB208E8-E8AB-432A-8A8C-497F1E2EF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0AE7AB6F-0E79-4F5E-9607-AF3C12744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ACA2754B-70FD-4BDD-84F2-D0A9CF379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465BAB42-E479-4731-B8AB-9988BD77C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84A5B494-B3A0-4797-9162-25A775AB2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BF517630-9DEC-42E2-93E5-BA047EE26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5B3FAA60-CC76-44AC-90F8-1C10E7502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EF46C45F-9A5F-4DE3-B86C-6768A4182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96B48825-1880-4FAF-968C-B4575BDAD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F2A1F4A0-201B-4EA9-9DF2-97AFE1473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9D67FBAA-915B-432C-9475-BD6DCA60C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133AAA0A-8E05-434F-98A6-E3CFE7C24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D6E6812B-09D7-466B-A440-1A650EEDB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34BDF4E1-B38A-4024-AF1A-0D9DF80AA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5E0F1732-3302-4A4F-A5E7-C0A602013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444500</xdr:colOff>
      <xdr:row>9</xdr:row>
      <xdr:rowOff>0</xdr:rowOff>
    </xdr:from>
    <xdr:ext cx="304800" cy="298450"/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9E54C9B6-9A27-4174-A670-1D86A74929AB}"/>
            </a:ext>
          </a:extLst>
        </xdr:cNvPr>
        <xdr:cNvSpPr>
          <a:spLocks noChangeAspect="1" noChangeArrowheads="1"/>
        </xdr:cNvSpPr>
      </xdr:nvSpPr>
      <xdr:spPr bwMode="auto">
        <a:xfrm>
          <a:off x="685165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9</xdr:row>
      <xdr:rowOff>12700</xdr:rowOff>
    </xdr:from>
    <xdr:ext cx="304800" cy="298450"/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074CBD9A-6662-4364-90E5-C07C1003AF8B}"/>
            </a:ext>
          </a:extLst>
        </xdr:cNvPr>
        <xdr:cNvSpPr>
          <a:spLocks noChangeAspect="1" noChangeArrowheads="1"/>
        </xdr:cNvSpPr>
      </xdr:nvSpPr>
      <xdr:spPr bwMode="auto">
        <a:xfrm>
          <a:off x="1181100" y="2038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10</xdr:row>
      <xdr:rowOff>66675</xdr:rowOff>
    </xdr:from>
    <xdr:ext cx="304800" cy="298450"/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1610416E-2B31-4918-8C85-F32CA973EADE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393700</xdr:colOff>
      <xdr:row>9</xdr:row>
      <xdr:rowOff>19050</xdr:rowOff>
    </xdr:from>
    <xdr:ext cx="304800" cy="298450"/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962CCCE5-C383-4B3B-A3C5-41B793981C18}"/>
            </a:ext>
          </a:extLst>
        </xdr:cNvPr>
        <xdr:cNvSpPr>
          <a:spLocks noChangeAspect="1" noChangeArrowheads="1"/>
        </xdr:cNvSpPr>
      </xdr:nvSpPr>
      <xdr:spPr bwMode="auto">
        <a:xfrm>
          <a:off x="1003300" y="204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68BD08FB-B283-464D-90C7-3F28F9399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5DB920B5-2D98-4FF9-BE71-C57A49FC8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818CDC99-CBC3-408C-A76F-5347D663E4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59E59EB3-3B33-48FF-BB12-8534D6740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D22C5561-2A9D-45BF-A927-93E035CC7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C1FB3153-3130-4A16-A408-A844EE6C6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CCD94AC9-06E7-4C94-8F13-BDC804134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05088414-2BCA-410F-B429-9524C5D0E6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2A84466F-85BF-4365-BA93-F3E7CFBA4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0B3332F7-62DA-41C1-A206-B4818B874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E63FA4E5-6173-42D2-A36E-9F4E4C082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30A30398-A194-446B-8FB3-D9422DECA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3B886ABA-746B-4873-AAE0-C5E4DF4F82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02ABE267-7E80-443B-B8A4-F85EC9E35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5E37BAE5-593C-4DF5-897C-1CE8EF575C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3DEFD084-AA41-4130-A9F3-A1C35BA9C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63F077DF-2F2C-4A1D-AAC9-A77DA064F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B01C8D46-1BD5-4CD5-95E9-AB1A2F4DEC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0D69A114-EC01-42F1-B2AB-9990D8DCB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EFCE7933-9E21-468D-AB20-0A2720212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25A26234-FFF1-4DC1-A3ED-65F08B8522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947276D1-62EE-40B3-B263-A2CF37285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C6339D3F-A657-4906-838A-1142B2D6A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205A8ADF-BA73-45E2-B7FC-1605B657A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02A266EC-E7F9-4BEB-8A88-B23FD7D99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7F94869B-C508-4680-8D5E-BC44AD045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FEC4E0AB-1EAD-4FA0-B800-864D7EC60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036808C4-3C65-4C98-9D13-C3505820A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0930006C-8C25-4591-A8F7-E24E89EDC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3F46CA24-3489-4CDA-A0B3-DFC993432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15424026-9278-4FB6-BA5A-7A21106B3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5B22E73F-7683-4644-A59F-0776D0DD9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6A4613D3-1CDA-4326-A353-E0AD87EA5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B2421046-FFAD-48CE-8FDD-3E859E5E3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C3EAF676-1263-4610-BCBA-CE6B02498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3A86EE78-0AC4-48F1-B223-98633D3A4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E0FE1B43-5201-4AB9-96AE-4C5D23C1E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2E53E8D5-1C79-4BBF-9B97-E05D67554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F22D7CC3-0FB2-427F-8634-C498CB3FE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21F1989C-D093-4E8E-9592-E69E91131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9F367363-AC56-4064-BA84-BA5400C13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D8D5E368-51A6-451B-BAD6-8246BCAE4B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D534D0A8-5796-4FF8-A44A-DE4E5DAA7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FEA1B7ED-307B-4027-93AD-AAA439115E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3357A1AB-D544-44D4-9FFC-C52F29AA2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6C2BD8A9-1712-4A07-B71F-ED797C39A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8F012CA2-4F52-4BEB-82A4-A365C2929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B71CF486-6679-4892-A37A-6688383CA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0D9B676A-7995-4B23-8292-6D323E18D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0E77DC5C-2905-4F1A-9158-9A555977F6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695186BA-4A96-4CCA-B38E-E8A8E3CED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1439640F-869D-404D-9FF0-F5F8A5EFF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CFDA010C-B2C8-46FE-981A-94C02A4C0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36CDD8B6-D706-4194-B86F-BC6A905E5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5B6E7DC1-3F2B-4661-8780-8EB8EF440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1BE81B0F-3880-4F72-917D-9A3849515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AFC8B345-FB29-4A5C-9A23-57FE61EDA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9CE4EC5C-FA51-4D2D-A1C3-2BC689023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00BE5633-117D-4F24-B1A6-BCE90997D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B9DD0FB2-3494-422D-9539-4BE73D7E6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57DA1EB4-33F7-4F99-876C-2AEB1A0451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1A50FE0C-8051-45AA-AC32-5F12CD1FD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4BFAE582-0D00-48A7-9EEF-646BBAD16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DF74A876-D1E1-43CA-9D93-64B0ED27F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777A692E-3C43-45CD-9E92-733E33121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E8D5CF8A-9D24-4162-814D-4D10F72A5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1C362A39-E09D-45A5-B006-BC72B61F3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015B9802-3E26-4656-BB8D-327AE21275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7E11CE2B-B1B5-4731-8AC7-374DE72EC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3E5AC0E8-95C8-47D6-BD4A-1C60A51CD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6EBBB783-CC6D-48C2-B788-44C22DB13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AFF51375-8F9F-4004-8AAA-1814F4FD30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E723DBBE-E420-4946-AC2A-69C152342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9060E9F4-A9A0-4E08-A972-D2159FA31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A5468C91-F014-4C4F-A80A-41B02EB5E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40811408-8B4E-450F-B131-598185244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8D939A89-ED3D-4A5C-B2E1-39DD08144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8D260F9F-0EF9-4356-97D1-164EC5E45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09B68D4D-4317-4437-BBCB-EAE9CB85D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0263B3C4-2CA2-440F-8EE0-F3C6E1162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5FFBC41C-99DA-4AB1-B795-480E36332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39A6CB3E-F2DF-4BE6-8031-A8854DC1A9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8625470F-3FB1-4A19-9EA3-0F7841E1F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8BF4A5DF-2684-4886-A2C6-9DF2D674F5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389A1E2B-725E-4591-9CFF-EC2FCA3A5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7EC18961-6D40-440E-A12C-AF7CE00DF5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BB077A51-0E9A-413F-9A62-DEF9798D3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4B50F9CB-3C2D-4427-A2DD-2FA20180F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0C5A9359-0260-4FE4-83FA-F06F7E2C0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63136D07-1FBF-47FD-9113-4F2085414E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8F29F5C5-2718-4F7F-BBED-447CA22D4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4C4C7105-C2CE-4717-90D8-464B83EEE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7F783BE0-1540-4344-85EF-C0EDB2883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C8F757C2-8ABF-408E-A553-BDC76AC6D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2D9348CB-178B-4732-91E7-5C3D14E91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A780635B-3198-408D-AA51-70A73A2A3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3E3B1BB7-C998-4154-A334-BB385B030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4A198CD5-39BE-49D3-AC7F-C4FB474A8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97A454A5-9241-4192-A056-5A2EDF781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0A264BD7-C523-42C2-94D4-B060A7B5A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67F474EC-DAFA-4542-A138-696C93DBA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B919E7A7-5582-49F4-821B-4BC172B60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C877ECC8-43A7-4B71-ADE5-BDA5A268E4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B0F976E6-7401-4C1D-B37C-B276D5F7C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82576582-3851-47D1-9C52-6CC871D50F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083E930D-F3B6-472A-9828-F793A9A84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C7568F47-F482-4C60-8153-C5499A4B5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41275</xdr:colOff>
      <xdr:row>9</xdr:row>
      <xdr:rowOff>28575</xdr:rowOff>
    </xdr:from>
    <xdr:ext cx="304800" cy="298450"/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AC5DC819-BE2C-46C6-AA80-70E9AC449684}"/>
            </a:ext>
          </a:extLst>
        </xdr:cNvPr>
        <xdr:cNvSpPr>
          <a:spLocks noChangeAspect="1" noChangeArrowheads="1"/>
        </xdr:cNvSpPr>
      </xdr:nvSpPr>
      <xdr:spPr bwMode="auto">
        <a:xfrm>
          <a:off x="650875" y="20542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3D220BC6-310C-4C70-92FD-5B66AA98A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11</xdr:row>
      <xdr:rowOff>66675</xdr:rowOff>
    </xdr:from>
    <xdr:ext cx="304800" cy="298450"/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F16C0DAA-49FB-4A69-BDCC-E367013C3028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517525</xdr:colOff>
      <xdr:row>11</xdr:row>
      <xdr:rowOff>66675</xdr:rowOff>
    </xdr:from>
    <xdr:ext cx="304800" cy="298450"/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6AAB3CCE-51CC-4F13-ACA6-3EA236A4BF25}"/>
            </a:ext>
          </a:extLst>
        </xdr:cNvPr>
        <xdr:cNvSpPr>
          <a:spLocks noChangeAspect="1" noChangeArrowheads="1"/>
        </xdr:cNvSpPr>
      </xdr:nvSpPr>
      <xdr:spPr bwMode="auto">
        <a:xfrm>
          <a:off x="51752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517525</xdr:colOff>
      <xdr:row>11</xdr:row>
      <xdr:rowOff>66675</xdr:rowOff>
    </xdr:from>
    <xdr:ext cx="304800" cy="298450"/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B561D535-4927-49CF-93F8-C6BB9FC39AA7}"/>
            </a:ext>
          </a:extLst>
        </xdr:cNvPr>
        <xdr:cNvSpPr>
          <a:spLocks noChangeAspect="1" noChangeArrowheads="1"/>
        </xdr:cNvSpPr>
      </xdr:nvSpPr>
      <xdr:spPr bwMode="auto">
        <a:xfrm>
          <a:off x="51752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517525</xdr:colOff>
      <xdr:row>11</xdr:row>
      <xdr:rowOff>66675</xdr:rowOff>
    </xdr:from>
    <xdr:ext cx="304800" cy="298450"/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B5B5D934-088A-4844-8488-D7243F933073}"/>
            </a:ext>
          </a:extLst>
        </xdr:cNvPr>
        <xdr:cNvSpPr>
          <a:spLocks noChangeAspect="1" noChangeArrowheads="1"/>
        </xdr:cNvSpPr>
      </xdr:nvSpPr>
      <xdr:spPr bwMode="auto">
        <a:xfrm>
          <a:off x="112712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517525</xdr:colOff>
      <xdr:row>11</xdr:row>
      <xdr:rowOff>66675</xdr:rowOff>
    </xdr:from>
    <xdr:ext cx="304800" cy="298450"/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EC22D9A3-D12F-4331-8748-9B58F5D51631}"/>
            </a:ext>
          </a:extLst>
        </xdr:cNvPr>
        <xdr:cNvSpPr>
          <a:spLocks noChangeAspect="1" noChangeArrowheads="1"/>
        </xdr:cNvSpPr>
      </xdr:nvSpPr>
      <xdr:spPr bwMode="auto">
        <a:xfrm>
          <a:off x="473392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517525</xdr:colOff>
      <xdr:row>11</xdr:row>
      <xdr:rowOff>66675</xdr:rowOff>
    </xdr:from>
    <xdr:ext cx="304800" cy="298450"/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6D9CC44E-047B-4DC5-A8CE-7F52105A1FC3}"/>
            </a:ext>
          </a:extLst>
        </xdr:cNvPr>
        <xdr:cNvSpPr>
          <a:spLocks noChangeAspect="1" noChangeArrowheads="1"/>
        </xdr:cNvSpPr>
      </xdr:nvSpPr>
      <xdr:spPr bwMode="auto">
        <a:xfrm>
          <a:off x="57054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517525</xdr:colOff>
      <xdr:row>11</xdr:row>
      <xdr:rowOff>66675</xdr:rowOff>
    </xdr:from>
    <xdr:ext cx="304800" cy="298450"/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1472A1B8-74B5-44FB-BDFC-9D03EF933A50}"/>
            </a:ext>
          </a:extLst>
        </xdr:cNvPr>
        <xdr:cNvSpPr>
          <a:spLocks noChangeAspect="1" noChangeArrowheads="1"/>
        </xdr:cNvSpPr>
      </xdr:nvSpPr>
      <xdr:spPr bwMode="auto">
        <a:xfrm>
          <a:off x="63150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517525</xdr:colOff>
      <xdr:row>11</xdr:row>
      <xdr:rowOff>66675</xdr:rowOff>
    </xdr:from>
    <xdr:ext cx="304800" cy="298450"/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AFE45400-2CDE-40FF-8ABB-77323D419958}"/>
            </a:ext>
          </a:extLst>
        </xdr:cNvPr>
        <xdr:cNvSpPr>
          <a:spLocks noChangeAspect="1" noChangeArrowheads="1"/>
        </xdr:cNvSpPr>
      </xdr:nvSpPr>
      <xdr:spPr bwMode="auto">
        <a:xfrm>
          <a:off x="69246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517525</xdr:colOff>
      <xdr:row>11</xdr:row>
      <xdr:rowOff>66675</xdr:rowOff>
    </xdr:from>
    <xdr:ext cx="304800" cy="298450"/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CB742555-F31D-4970-8081-C6B735CA4BE9}"/>
            </a:ext>
          </a:extLst>
        </xdr:cNvPr>
        <xdr:cNvSpPr>
          <a:spLocks noChangeAspect="1" noChangeArrowheads="1"/>
        </xdr:cNvSpPr>
      </xdr:nvSpPr>
      <xdr:spPr bwMode="auto">
        <a:xfrm>
          <a:off x="75342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7</xdr:col>
      <xdr:colOff>517525</xdr:colOff>
      <xdr:row>11</xdr:row>
      <xdr:rowOff>66675</xdr:rowOff>
    </xdr:from>
    <xdr:ext cx="304800" cy="298450"/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1EBABAE6-6D5C-4ABC-889A-01FEBB6952D7}"/>
            </a:ext>
          </a:extLst>
        </xdr:cNvPr>
        <xdr:cNvSpPr>
          <a:spLocks noChangeAspect="1" noChangeArrowheads="1"/>
        </xdr:cNvSpPr>
      </xdr:nvSpPr>
      <xdr:spPr bwMode="auto">
        <a:xfrm>
          <a:off x="81438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517525</xdr:colOff>
      <xdr:row>11</xdr:row>
      <xdr:rowOff>66675</xdr:rowOff>
    </xdr:from>
    <xdr:ext cx="304800" cy="298450"/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94570A4C-DB1B-420D-ACB5-8A31C3B944D1}"/>
            </a:ext>
          </a:extLst>
        </xdr:cNvPr>
        <xdr:cNvSpPr>
          <a:spLocks noChangeAspect="1" noChangeArrowheads="1"/>
        </xdr:cNvSpPr>
      </xdr:nvSpPr>
      <xdr:spPr bwMode="auto">
        <a:xfrm>
          <a:off x="8753475" y="2460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517525</xdr:colOff>
      <xdr:row>11</xdr:row>
      <xdr:rowOff>66675</xdr:rowOff>
    </xdr:from>
    <xdr:ext cx="304800" cy="298450"/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2D1CCB05-F9F2-422D-B89B-D59A96074FF0}"/>
            </a:ext>
          </a:extLst>
        </xdr:cNvPr>
        <xdr:cNvSpPr>
          <a:spLocks noChangeAspect="1" noChangeArrowheads="1"/>
        </xdr:cNvSpPr>
      </xdr:nvSpPr>
      <xdr:spPr bwMode="auto">
        <a:xfrm>
          <a:off x="9261475" y="1908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E21" sqref="E21"/>
    </sheetView>
  </sheetViews>
  <sheetFormatPr defaultRowHeight="14.5" x14ac:dyDescent="0.35"/>
  <cols>
    <col min="2" max="2" width="50.179687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2" t="s">
        <v>11</v>
      </c>
      <c r="C2" s="3">
        <v>8000380005925</v>
      </c>
      <c r="D2" s="4">
        <v>1.79</v>
      </c>
      <c r="E2" s="5">
        <v>0.08</v>
      </c>
      <c r="F2" s="5">
        <v>0.13</v>
      </c>
      <c r="G2" s="4">
        <v>1.43</v>
      </c>
      <c r="H2" s="5">
        <v>0.15</v>
      </c>
      <c r="I2" s="5">
        <v>0.21</v>
      </c>
      <c r="J2" s="6">
        <v>1.99</v>
      </c>
      <c r="K2" s="1" t="s">
        <v>17</v>
      </c>
    </row>
    <row r="3" spans="1:11" x14ac:dyDescent="0.35">
      <c r="A3" s="1">
        <v>2</v>
      </c>
      <c r="B3" s="2" t="s">
        <v>12</v>
      </c>
      <c r="C3" s="3">
        <v>8000380005918</v>
      </c>
      <c r="D3" s="4">
        <v>1.79</v>
      </c>
      <c r="E3" s="5">
        <v>0.08</v>
      </c>
      <c r="F3" s="5">
        <v>0.13</v>
      </c>
      <c r="G3" s="4">
        <v>1.43</v>
      </c>
      <c r="H3" s="5">
        <v>0.15</v>
      </c>
      <c r="I3" s="5">
        <v>0.21</v>
      </c>
      <c r="J3" s="6">
        <v>1.99</v>
      </c>
      <c r="K3" s="1" t="s">
        <v>17</v>
      </c>
    </row>
    <row r="4" spans="1:11" x14ac:dyDescent="0.35">
      <c r="A4" s="1">
        <v>3</v>
      </c>
      <c r="B4" s="2" t="s">
        <v>13</v>
      </c>
      <c r="C4" s="3">
        <v>8000380005963</v>
      </c>
      <c r="D4" s="4">
        <v>1.79</v>
      </c>
      <c r="E4" s="5">
        <v>0.08</v>
      </c>
      <c r="F4" s="5">
        <v>0.13</v>
      </c>
      <c r="G4" s="4">
        <v>1.43</v>
      </c>
      <c r="H4" s="5">
        <v>0.15</v>
      </c>
      <c r="I4" s="5">
        <v>0.21</v>
      </c>
      <c r="J4" s="6">
        <v>1.99</v>
      </c>
      <c r="K4" s="1" t="s">
        <v>17</v>
      </c>
    </row>
    <row r="5" spans="1:11" x14ac:dyDescent="0.35">
      <c r="A5" s="1">
        <v>4</v>
      </c>
      <c r="B5" s="1" t="s">
        <v>14</v>
      </c>
      <c r="C5" s="7">
        <v>5908234812206</v>
      </c>
      <c r="D5" s="4">
        <v>1.26</v>
      </c>
      <c r="E5" s="5">
        <v>0.08</v>
      </c>
      <c r="F5" s="5">
        <v>0.14000000000000001</v>
      </c>
      <c r="G5" s="4">
        <v>0.996</v>
      </c>
      <c r="H5" s="5">
        <v>0.15</v>
      </c>
      <c r="I5" s="5">
        <v>0.21</v>
      </c>
      <c r="J5" s="8">
        <v>1.39</v>
      </c>
      <c r="K5" s="1" t="s">
        <v>17</v>
      </c>
    </row>
    <row r="6" spans="1:11" x14ac:dyDescent="0.35">
      <c r="A6" s="1">
        <v>5</v>
      </c>
      <c r="B6" s="1" t="s">
        <v>15</v>
      </c>
      <c r="C6" s="7">
        <v>5908234812190</v>
      </c>
      <c r="D6" s="4">
        <v>1.26</v>
      </c>
      <c r="E6" s="5">
        <v>0.08</v>
      </c>
      <c r="F6" s="5">
        <v>0.14000000000000001</v>
      </c>
      <c r="G6" s="4">
        <v>0.996</v>
      </c>
      <c r="H6" s="5">
        <v>0.15</v>
      </c>
      <c r="I6" s="5">
        <v>0.21</v>
      </c>
      <c r="J6" s="8">
        <v>1.39</v>
      </c>
      <c r="K6" s="1" t="s">
        <v>17</v>
      </c>
    </row>
    <row r="7" spans="1:11" x14ac:dyDescent="0.35">
      <c r="A7" s="1">
        <v>6</v>
      </c>
      <c r="B7" s="1" t="s">
        <v>16</v>
      </c>
      <c r="C7" s="7">
        <v>5908234812213</v>
      </c>
      <c r="D7" s="4">
        <v>1.26</v>
      </c>
      <c r="E7" s="5">
        <v>0.08</v>
      </c>
      <c r="F7" s="5">
        <v>0.14000000000000001</v>
      </c>
      <c r="G7" s="4">
        <v>0.996</v>
      </c>
      <c r="H7" s="5">
        <v>0.15</v>
      </c>
      <c r="I7" s="5">
        <v>0.21</v>
      </c>
      <c r="J7" s="8">
        <v>1.39</v>
      </c>
      <c r="K7" s="1" t="s">
        <v>17</v>
      </c>
    </row>
    <row r="8" spans="1:11" x14ac:dyDescent="0.35">
      <c r="A8" s="1"/>
      <c r="K8" s="1"/>
    </row>
    <row r="9" spans="1:11" x14ac:dyDescent="0.35">
      <c r="A9" s="1">
        <v>7</v>
      </c>
      <c r="B9" s="2" t="s">
        <v>18</v>
      </c>
      <c r="C9" s="9">
        <v>5319991511255</v>
      </c>
      <c r="D9" s="4">
        <v>1.55</v>
      </c>
      <c r="E9" s="5"/>
      <c r="F9" s="5">
        <v>0.13</v>
      </c>
      <c r="G9" s="4">
        <v>1.35</v>
      </c>
      <c r="H9" s="5">
        <v>0.16</v>
      </c>
      <c r="I9" s="5">
        <v>0.21</v>
      </c>
      <c r="J9" s="6">
        <v>1.89</v>
      </c>
      <c r="K9" s="1" t="s">
        <v>17</v>
      </c>
    </row>
    <row r="10" spans="1:11" x14ac:dyDescent="0.35">
      <c r="A10" s="1">
        <v>8</v>
      </c>
      <c r="B10" s="2" t="s">
        <v>19</v>
      </c>
      <c r="C10" s="9">
        <v>8606103485335</v>
      </c>
      <c r="D10" s="4">
        <v>2.15</v>
      </c>
      <c r="E10" s="5"/>
      <c r="F10" s="5">
        <v>0.1</v>
      </c>
      <c r="G10" s="4">
        <f>D10-(E10*D10)-F10*(D10-(E10*D10))</f>
        <v>1.9349999999999998</v>
      </c>
      <c r="H10" s="5">
        <v>0.15</v>
      </c>
      <c r="I10" s="5">
        <v>0.21</v>
      </c>
      <c r="J10" s="6">
        <f>G10+(H10*G10)+21%*(G10+(H10*G10))</f>
        <v>2.6925524999999997</v>
      </c>
      <c r="K10" s="1" t="s">
        <v>17</v>
      </c>
    </row>
    <row r="11" spans="1:11" x14ac:dyDescent="0.35">
      <c r="A11" s="1">
        <v>9</v>
      </c>
      <c r="B11" s="2" t="s">
        <v>25</v>
      </c>
      <c r="C11" s="7">
        <v>5319991511446</v>
      </c>
      <c r="D11" s="4">
        <v>2.2400000000000002</v>
      </c>
      <c r="E11" s="5"/>
      <c r="F11" s="5">
        <v>0.15</v>
      </c>
      <c r="G11" s="4">
        <f>D11-(F11*D11)</f>
        <v>1.9040000000000001</v>
      </c>
      <c r="H11" s="5">
        <v>0.15</v>
      </c>
      <c r="I11" s="5">
        <v>0.21</v>
      </c>
      <c r="J11" s="11">
        <f>(G11+(H11*G11))+I11*(G11+(H11*G11))</f>
        <v>2.649416</v>
      </c>
      <c r="K11" s="1" t="s">
        <v>17</v>
      </c>
    </row>
    <row r="12" spans="1:11" x14ac:dyDescent="0.35">
      <c r="A12" s="12">
        <v>10</v>
      </c>
      <c r="B12" s="2" t="s">
        <v>24</v>
      </c>
      <c r="C12" s="7">
        <v>5319991511477</v>
      </c>
      <c r="D12" s="4">
        <v>2.2400000000000002</v>
      </c>
      <c r="E12" s="5"/>
      <c r="F12" s="5">
        <v>0.15</v>
      </c>
      <c r="G12" s="4">
        <f>D12-(F12*D12)</f>
        <v>1.9040000000000001</v>
      </c>
      <c r="H12" s="5">
        <v>0.15</v>
      </c>
      <c r="I12" s="5">
        <v>0.21</v>
      </c>
      <c r="J12" s="11">
        <f>(G12+(H12*G12))+I12*(G12+(H12*G12))</f>
        <v>2.649416</v>
      </c>
      <c r="K12" s="1" t="s">
        <v>17</v>
      </c>
    </row>
    <row r="13" spans="1:11" x14ac:dyDescent="0.35">
      <c r="B13" s="2"/>
      <c r="C13" s="7"/>
      <c r="D13" s="4"/>
      <c r="E13" s="5"/>
      <c r="F13" s="5"/>
      <c r="G13" s="4"/>
      <c r="H13" s="5"/>
      <c r="I13" s="5"/>
      <c r="J13" s="11"/>
      <c r="K13" s="1"/>
    </row>
    <row r="14" spans="1:11" x14ac:dyDescent="0.35">
      <c r="A14" s="1">
        <v>11</v>
      </c>
      <c r="B14" s="1" t="s">
        <v>20</v>
      </c>
      <c r="C14" s="7">
        <v>3858891292052</v>
      </c>
      <c r="D14" s="4">
        <v>0.54</v>
      </c>
      <c r="E14" s="5">
        <v>0.08</v>
      </c>
      <c r="F14" s="5">
        <v>0.1</v>
      </c>
      <c r="G14" s="4">
        <v>0.45</v>
      </c>
      <c r="H14" s="5">
        <v>0.2</v>
      </c>
      <c r="I14" s="5">
        <v>0.21</v>
      </c>
      <c r="J14" s="8">
        <v>0.65</v>
      </c>
      <c r="K14" s="1" t="s">
        <v>17</v>
      </c>
    </row>
    <row r="15" spans="1:11" x14ac:dyDescent="0.35">
      <c r="A15" s="1">
        <v>12</v>
      </c>
      <c r="B15" s="1" t="s">
        <v>21</v>
      </c>
      <c r="C15" s="7">
        <v>3858891292045</v>
      </c>
      <c r="D15" s="4">
        <v>0.54</v>
      </c>
      <c r="E15" s="5">
        <v>0.08</v>
      </c>
      <c r="F15" s="5">
        <v>0.1</v>
      </c>
      <c r="G15" s="4">
        <v>0.45</v>
      </c>
      <c r="H15" s="5">
        <v>0.2</v>
      </c>
      <c r="I15" s="5">
        <v>0.21</v>
      </c>
      <c r="J15" s="6">
        <v>0.65</v>
      </c>
      <c r="K15" s="1" t="s">
        <v>17</v>
      </c>
    </row>
    <row r="16" spans="1:11" x14ac:dyDescent="0.35">
      <c r="A16" s="1">
        <v>13</v>
      </c>
      <c r="B16" s="1" t="s">
        <v>22</v>
      </c>
      <c r="C16" s="7">
        <v>3858891292007</v>
      </c>
      <c r="D16" s="4">
        <v>0.54</v>
      </c>
      <c r="E16" s="5">
        <v>0.08</v>
      </c>
      <c r="F16" s="5">
        <v>0.1</v>
      </c>
      <c r="G16" s="4">
        <v>0.45</v>
      </c>
      <c r="H16" s="5">
        <v>0.2</v>
      </c>
      <c r="I16" s="5">
        <v>0.21</v>
      </c>
      <c r="J16" s="6">
        <v>0.65</v>
      </c>
      <c r="K16" s="1" t="s">
        <v>17</v>
      </c>
    </row>
    <row r="17" spans="1:11" x14ac:dyDescent="0.35">
      <c r="A17" s="10">
        <v>14</v>
      </c>
      <c r="B17" s="1" t="s">
        <v>23</v>
      </c>
      <c r="C17" s="7">
        <v>3858891292069</v>
      </c>
      <c r="D17" s="4">
        <v>0.54</v>
      </c>
      <c r="E17" s="5">
        <v>0.08</v>
      </c>
      <c r="F17" s="5">
        <v>0.1</v>
      </c>
      <c r="G17" s="4">
        <v>0.45</v>
      </c>
      <c r="H17" s="5">
        <v>0.2</v>
      </c>
      <c r="I17" s="5">
        <v>0.21</v>
      </c>
      <c r="J17" s="6">
        <v>0.65</v>
      </c>
      <c r="K17" s="1" t="s">
        <v>17</v>
      </c>
    </row>
  </sheetData>
  <dataValidations count="1">
    <dataValidation type="textLength" operator="lessThan" allowBlank="1" showInputMessage="1" showErrorMessage="1" sqref="B10" xr:uid="{6D5879B4-A095-47EC-9397-E24D8528F3CB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2026-01-26T08:52:55Z</dcterms:modified>
</cp:coreProperties>
</file>