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jul\"/>
    </mc:Choice>
  </mc:AlternateContent>
  <xr:revisionPtr revIDLastSave="0" documentId="13_ncr:1_{984D4D8E-71D5-451B-90EA-D4B196156D1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G11" i="1"/>
  <c r="J9" i="1"/>
  <c r="G9" i="1"/>
  <c r="J1" i="1"/>
  <c r="J2" i="1"/>
  <c r="J3" i="1"/>
  <c r="J4" i="1"/>
  <c r="J5" i="1"/>
  <c r="J6" i="1"/>
  <c r="J7" i="1"/>
  <c r="J13" i="1"/>
  <c r="J14" i="1"/>
  <c r="J15" i="1"/>
  <c r="J16" i="1"/>
  <c r="G1" i="1"/>
  <c r="G2" i="1"/>
  <c r="G3" i="1"/>
  <c r="G4" i="1"/>
  <c r="G5" i="1"/>
  <c r="G6" i="1"/>
  <c r="G7" i="1"/>
  <c r="G12" i="1"/>
  <c r="G13" i="1"/>
  <c r="G14" i="1"/>
  <c r="G15" i="1"/>
  <c r="G16" i="1"/>
  <c r="G17" i="1"/>
</calcChain>
</file>

<file path=xl/sharedStrings.xml><?xml version="1.0" encoding="utf-8"?>
<sst xmlns="http://schemas.openxmlformats.org/spreadsheetml/2006/main" count="31" uniqueCount="19">
  <si>
    <t>Napolitanke sa krem filom kokosa Happy BIANCO  140gr FLIS</t>
  </si>
  <si>
    <t>Napolitanke sa krem filom ljesnika Happy NERO 140gr FLIS</t>
  </si>
  <si>
    <t>Napolitanke sa karamel kremom Happy ORO 140gr FLIS</t>
  </si>
  <si>
    <t>Napolitanke sa kremom od kafe Happy MOCA 140gr FLIS</t>
  </si>
  <si>
    <t>Napolitanke Quadratini 125g Kokos Loacker</t>
  </si>
  <si>
    <t>8000380005925</t>
  </si>
  <si>
    <t>Napolitanke Quadratini 125g Napolitaner Loacker</t>
  </si>
  <si>
    <t>Napolitanke Quadratini 125g Cokolada Loacker</t>
  </si>
  <si>
    <t>8000380005963</t>
  </si>
  <si>
    <t>Ovsena kasa malina 65gr My Life</t>
  </si>
  <si>
    <t>Ovsena kasa cokolada 65gr My Life</t>
  </si>
  <si>
    <t>Ovsena kasa sumsko voce 65gr My Life</t>
  </si>
  <si>
    <t>Ovsena kasa ljesnik 65gr My Life</t>
  </si>
  <si>
    <t>17.07.-23.07.</t>
  </si>
  <si>
    <t xml:space="preserve">Krastavci 720ml CAPSI FOOD  </t>
  </si>
  <si>
    <t>03.07-09.07.</t>
  </si>
  <si>
    <t>MASLINE ZELENE BK 370GR DELECO</t>
  </si>
  <si>
    <t>8606103485151</t>
  </si>
  <si>
    <t>Feferoni ljuti 680gr DELECO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</si>
</sst>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Czcionka tekstu podstawoweg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9" fontId="1" fillId="0" borderId="1" xfId="0" applyNumberFormat="1" applyFont="1" applyBorder="1"/>
    <xf numFmtId="0" fontId="2" fillId="0" borderId="1" xfId="0" applyFont="1" applyBorder="1"/>
    <xf numFmtId="9" fontId="1" fillId="0" borderId="2" xfId="0" applyNumberFormat="1" applyFont="1" applyBorder="1"/>
    <xf numFmtId="0" fontId="1" fillId="2" borderId="1" xfId="0" applyFont="1" applyFill="1" applyBorder="1"/>
    <xf numFmtId="2" fontId="2" fillId="0" borderId="1" xfId="0" applyNumberFormat="1" applyFont="1" applyBorder="1"/>
    <xf numFmtId="1" fontId="1" fillId="0" borderId="1" xfId="0" applyNumberFormat="1" applyFont="1" applyBorder="1"/>
    <xf numFmtId="2" fontId="0" fillId="0" borderId="0" xfId="0" applyNumberFormat="1"/>
    <xf numFmtId="2" fontId="2" fillId="0" borderId="1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right"/>
    </xf>
    <xf numFmtId="2" fontId="0" fillId="0" borderId="1" xfId="0" applyNumberFormat="1" applyBorder="1"/>
  </cellXfs>
  <cellStyles count="2">
    <cellStyle name="Normal" xfId="0" builtinId="0"/>
    <cellStyle name="Normal 5" xfId="1" xr:uid="{900AED20-139C-4912-941B-4F501E98C8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447DD09-98E9-4CA8-A86B-B6C4DA1ED3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84CF1CB-CF92-4223-A12D-6025DCCBC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6F76E120-EB65-4CC9-9964-B36A378397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A6C08682-1B04-4733-87C3-2099019F8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F9E27D26-91BE-4662-A8FA-6416BBEA2A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7F1AC0E4-EE7D-452F-B51B-762731457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DA6B38D5-EFC3-4288-94C3-BF7B9F8FC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B9C6636-6869-4917-99C2-333832E01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3675DDB-745F-4DFB-909A-D414A7267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FFD561D6-272A-4CBE-8CE3-3C498CBB2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7768A090-A0BD-4B7E-BCAF-AF4E63C579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4B3086CD-B8E8-4439-A90B-281EDAC74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2422F61-E4B6-4F91-9B05-49EDC9A02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2AE72EFD-8468-464C-8FDA-50DB2B3ACE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11C83A48-97C4-45B7-ACAD-38677BD42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0517CAA5-F255-4B95-9329-273CCF314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611C36B-D5F4-4FCA-AFF7-77D18211E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D332BB33-AC5C-476C-A7D8-AD2E75CAF6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7CB8F158-3B28-4FFD-8D70-37F9C2FF6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33812536-0E63-4C71-97A1-B4D5C2E5F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DDFE5B8E-E107-4A42-9586-8033427D8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9B9DBA54-7BD3-410C-BD83-51C0D02AC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902A10B5-451C-4555-90AF-3B81CE973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B6B70B42-5DCA-4F8D-9D43-0B5E595BC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C87D9A14-6E47-4614-8C3C-12C0318F7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E432491C-A092-4590-B33C-3D40574AF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9256EE01-62C6-4C8F-9898-064A02AA8A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27CBB4CC-29BE-4929-A1AD-113928C26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CAEEDAF8-EB0E-4751-B8B9-92F18D07C9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3977ECA4-F0CE-4A97-B154-51BFBAF1B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F5B690A1-CD99-4616-9DCD-C8ED4F43F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B4116D4F-6108-4F0D-AB09-F05B37419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5A2EB18B-E7CC-4A2D-88B4-86646278B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14276A0-97E6-492F-B40B-53655C04F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3067D4F0-23A6-426E-80D6-45B8BBC06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AAE04178-EDF3-42E5-878A-03CC39E93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88D8AFF8-62FD-4242-9AF9-2C31C81A54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9A58CB55-86D9-4706-BBFB-7CF13AA77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4DAB1AD6-0E49-497A-AC99-6CC91E763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D66E187A-5417-45CC-B174-D00BCA2D27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E3B95244-E3C9-436A-A455-C6F648DC4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AB05A6D9-D949-45F8-A465-FFA9B976F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FE4A6FD6-44CA-420D-A758-BCF11ECA2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2DC77A28-6D9F-4F31-A6F9-0EF6E8FF94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F6FB243A-FCA0-45E1-A1D1-1F59B8DAD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53EAAABC-752A-49D4-8576-B29AC3437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075A91F9-CA8A-4656-BCD7-0128554A1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CF69E4A8-8CBE-49BE-B534-CB44A49EB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726F35B6-A7E3-4182-909A-6742B0FF7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4023CC2D-6D47-4C9C-B470-E8B8D3B75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303C44A4-27BB-4EA2-B468-AF3D83FA5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90F23474-9D9B-42C8-974F-BFA837A30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37882452-6E79-4A5A-95ED-C060DDCD9F0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06A3CE09-5946-4A73-91A2-3D256219F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EDDD3F63-A9AE-4A87-886B-8E31D47CD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0CC9713A-DD5F-4B6D-B88A-47E3D08B8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FF449459-13FB-41F9-A643-8EE15F22E3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D3B7CCAA-D3A4-4C1E-BE7C-18AB067BF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6FE2CF0-A1F7-4492-ADF9-8187FE114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DE331A8F-5A2E-4269-AABD-CB33DD7EE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55ECB76A-886B-4223-AE5B-2F699442CB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01CD9940-B95C-4103-BB57-1C6F24F12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EB70FA1B-4239-4C3C-8594-5B4EAA734C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959B4B3A-73B8-4807-B4D1-989BC7937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5CC076FA-4B5E-4A18-86A5-85FCB06949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09D49ECC-3EA3-4FB1-94FF-8D3A9AE8E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E133186A-4DFD-4217-85F8-864CDBF978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26216B8A-DE9C-4AE1-ACEB-3F8BC3DA6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344ED5BE-C298-445C-8D6D-E9AF43752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41EA6594-778F-4B14-9A34-91BFA78C4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C1DF5149-56CB-4B97-AAA4-F44AAAD5C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B1190DE9-5281-40EB-876F-B1712E5CD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005DD0C8-09D5-49A7-BE5A-C10F70969A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059D59C0-BF8D-4FE9-99A5-2A17F0402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6DA40A88-9C4B-4540-BF47-46E2FA268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0046DC8A-1196-46CB-92D6-682BCFF1FB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C4920661-5858-431D-897D-F886D8225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C3711103-DB9A-42C6-A130-B522E5E38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018D708D-E293-4FAC-93BD-E8833DAAF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5493808F-74A1-481A-9C51-C2A00EE63D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A78E3FBA-E749-4CA7-AD18-EA9814807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16B558CC-9F62-4C44-84D0-0D68A3AC8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F9205A7F-AF5D-4B47-93C7-9B4C8B618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28A251D0-7610-4148-AC87-E92136CA9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842136EA-3403-484F-8F7C-5CE49AFB1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E6BC2B33-A0A8-4B30-9AE1-FA77EBC38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80B8C704-5DEB-4DA4-8E5F-A0BC18370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9DC0CBF8-50F6-4A5F-B4D8-A83EF3F78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BAF74EF3-69BF-401C-BA47-149201EF62F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D80BD11D-353B-4F83-BA3F-9BFE5605E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B97FB479-E16D-40BB-8680-9C700A6A4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8464AE78-ED66-4BD3-8FE0-7D027226D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2ED804CC-217A-49E9-8F15-080150529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44BB08FF-2556-4BE5-99AA-0B5A71AA8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50F4EDCC-423F-45AF-96A0-5D15FAB628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EEB03FD5-DE38-4D5A-BDBD-BB800A4D1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60745BF7-B252-44B1-A408-6347BE7459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E14D6697-E8BF-4FB1-94CF-9527A0757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47D2D8D4-4346-4F88-AA17-B2BEDFF6E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087491CA-5080-42FD-A6E9-CEE71393B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8E0654F9-B456-4713-8830-2BB47D346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610A7B55-F233-42E3-A892-009ED82A64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1DA2680E-F582-4EE6-BF08-9D508DDE5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5AB39A85-6404-43A1-8A87-9C410BBA34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ACB200BC-A63E-493F-A9C3-46E6090EA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BFEB030D-45E2-47A5-9168-4022397B78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77F7DD78-F334-4700-87A9-283C622C4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20016407-0197-4969-8B75-8E15E5583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BC4BF87C-5D11-485E-BFB1-6121DDECF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86A3F0BF-610F-4A03-8193-1CD696AF4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D6674E3B-8BE3-4C36-97FE-948C1F4A9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5EAE7E39-37CB-407A-B6CE-8F15A3764F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1B557D7F-870C-46BA-8CE0-01CE32E5E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327FDBB4-64C8-4C3E-9C94-617114570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BA23930C-E656-486E-BD00-8A32A7B28A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BB0E8580-4E04-4D54-9ECE-AC2E3EAA5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1B5C130B-A704-4DF6-88E9-B8144A2FD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882477B4-CC60-4103-95DC-5C5309C13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174C48EF-0AE1-42B3-B90F-7E18111CDC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3742DC19-12FF-47C0-B45D-F842919DD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343429BB-3EB2-42DC-8500-67BCB4B0D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5192670C-CAA3-460D-B61F-09A07AEAA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30DE7FEB-179C-4F81-8F3B-59BC9BA5C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BAB9B8E0-FFC1-4A73-99BB-AD32E86A8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247EE406-76AD-49E3-B7E0-7A6FAEF101B6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C450C2E5-9FF8-4E93-8AD0-065396509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EAC9E348-4FB3-47D0-8CA4-4664055F3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2A828231-6026-4903-B0C1-45B378D27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59D8F1C9-1AE6-4820-ACC8-FA2CEAF70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D38C4037-DCB7-4D52-849D-FDD533FEF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A98021F8-07D8-4302-9EF7-315FA741C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FC64BA9C-F169-44CC-AA78-0059A68B4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5B8B1118-3386-4F70-A391-9E8D2A96B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3FAC1EA2-660A-4C19-9654-1DA3562DF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B39D6CEE-C746-463D-AFB5-9D2DC2E76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BE6A2317-445C-4BC4-B1EF-A61892D16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607B0DFD-E62F-470D-9D2B-ECBC8B96B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76DB4715-CC90-4E3A-BA6A-121532B83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4AF214E2-25A7-4CA6-A9AE-4E5819463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9E08C7B8-901D-4CA1-BCAD-91D5E90F2E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4BBFB018-20F7-4DEA-9987-F14030967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DD5F7EE8-4A55-47E6-87DE-0E9CF28E81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8192C59A-27C4-46A7-8069-9576CF7A1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3E43018C-21D1-4B3A-ABF3-1FC56B6A8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B7DE5143-995F-4F85-A402-C9B91DE2E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EBEE429D-48C6-40AF-ADF9-68C1AA4CF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29F8BDBF-4808-4DA4-BFF2-55EFD9031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A8AC02C3-D423-429D-ADA1-1605656D51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2107A205-9E38-40E9-813D-C83994F8A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E442E040-62B0-485E-860A-D82253AD6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F24E044D-C2AD-45E2-972D-6ABF9DBAC8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7CD3C7C4-DA18-4A04-9E77-D917D9084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8ED7AB9C-E8FB-4C1B-AE1E-232F5E164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B1106901-9FC3-4653-9641-2AB750F62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1159D2A8-6615-452A-9FC4-9098E3BB22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48802EA8-8B87-4A5E-A326-E1D7E5C73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ED7CAA90-8E96-4F24-9FDD-298321560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F3324630-4950-459F-ABC7-26D5915CD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9724A63F-55E6-4F80-8FB8-D49180942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71DE76EF-54F6-4602-B307-DF20CC88D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4359F1BA-88A3-4E6E-B2F3-BF7ADA37B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ADAB139E-EFF7-4555-A14C-38173FCA4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AF186292-0DB1-4600-9EE3-13AB03936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01B42157-16F1-4E01-85CC-483A61542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B9191F7A-C092-48B6-929C-B07638D1A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AF1BF316-81AB-4CD0-83A1-9049C910D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2CDCD110-F4EE-4249-96C2-88AA4451E9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4660B809-47E5-48FE-8E57-E660F5CC2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A2C53F8E-DADD-4AAE-8632-23FA568CD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014163F5-3754-4531-BD7D-AB2AB9A38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DB273196-495E-4ABB-ADCF-B538C212F6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13AB0C9F-3D27-4C3D-A0B4-2449C0B31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775394A6-BD05-40D2-8E5F-0106147EB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8FB450A8-211F-4C22-B588-2697097A6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8701005B-E4ED-4119-898D-771613FA7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F44D0D3D-73DF-4420-8B67-E1B67E0C9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9CBDF64A-1801-4584-B320-04463978E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FE6A4039-D834-4D49-8CBA-B43D203FB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C5BF92E4-C712-458D-8760-01BA773C6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6155A4C0-FB6E-4891-8C48-1CAAD42E4C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537D63FA-CC2C-403A-9D41-5D5A9A21C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309C359C-D4D9-42FE-83B2-41C439DE3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829B47D3-8895-42F8-BBB0-C10A9263F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D80F5F46-6B65-4BEB-9C5E-9BC0D49607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44D9C9B9-1422-478C-8F1B-0E556352C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10A07D01-7F44-43C8-8A00-04FA616D7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4F7261E0-1E13-4BC4-A8E8-6F103BA5F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A8972AFA-738B-48B6-904A-90FD77F5C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A873E8AE-8B8C-48C1-BA9C-E7F7D6732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D8ECA164-A2EA-4FFD-BCDA-83087D193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F417466D-C60E-47BD-8287-9FED0DFB0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E4C69EE5-867C-42FF-B457-19FC4031F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D40C7F0C-9531-4AA7-958A-2446F22EFC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D168EE59-C91C-4F93-8B15-C12E4C596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E80109DA-2021-4910-8EAE-63DA7E3292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C5D7AB1B-8F7B-4D47-A368-FB84128B1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AF29C405-89D6-4013-AB96-59849FCD49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EF495806-D182-48F6-A1FB-C466C3707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F9E28531-C72E-47DE-B41C-E22CC1496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CB5B3127-E40C-4939-B017-671414710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B115B6CF-9CE4-4673-A9D6-8B3168047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0FA53FEF-8BEB-4E53-A138-A77A9DEA9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AEFF9E64-D90B-485E-9186-E2CB1D5787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835F6FA9-0ACA-4C10-B5C6-1BC337577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10AD4857-CD73-4700-B0BC-E5F66D4CA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3789C83C-997B-4238-9240-9273A34AC8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F2F90487-8552-4F0D-A307-3B310A8BF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028D68C6-87A3-4ADB-AFCF-A9F937C78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67BC3A12-F1EB-4EB9-982C-17F726091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1A6BA72B-BE13-44BE-974B-E5E1DBB0CC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41821D74-191B-4751-947C-7DEB69475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72582B7B-F03A-485C-9939-A7BA62AC4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A77A85BB-D7C5-47D6-93DD-F9478B68B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B16E032F-AE50-4A65-BCB9-63B1AA678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1FAF95DF-461F-48B1-B536-600FB0F75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FD1781D8-B2A5-49B7-B539-09BDC0FDB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B8E413A1-D1CF-4AD3-87BE-2A6C876D6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C0E849CF-85A4-475C-9145-8EDA59CF1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B8C2045A-0370-4A71-8A40-7FAB7DD7085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CB2476AB-03F4-4F3B-9B21-4A13DBD70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1EC5B819-D836-4F09-91A3-79A3A2681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DC5D2C9-251E-4A72-8489-4CC246172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58F11BFC-E510-42AF-A364-CD7DC9A593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B93212C2-D322-4C4B-B9B5-4BB0E312D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863EB8F8-938B-4DCF-BAA1-3DADEE8FE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4607DBF2-9B20-4A45-ABA2-22F894362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1510DA85-CA73-41AE-AB63-714E396422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AA8B0BC5-14EC-43E9-B74D-FB49A1485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C24EFE04-E38B-468A-B7C7-0225C92308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A13202E3-9D84-48CD-A56D-9CF94D192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9ECD0CED-5450-4A0F-8DAE-0AB0C01B45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9BCE0C94-526B-415C-854B-9D60D7E05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88D911DE-1A21-442F-9F9B-EF649A0B2D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DD704528-48A3-47F5-9F80-768FC7FBF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BC6AF8D3-C396-437F-BCA8-222495EBD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A73F9317-919C-4389-A340-D16DAA802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5ACB3EB2-2332-4E65-9B6B-1E51F570F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651A36FE-2380-47B9-8359-CD32DB037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482C2D21-BBE0-41D7-8B18-94C41E15CC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4E97537A-9ECF-453B-80A8-367F56F28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9C2572F5-A783-4E5F-A4FB-60A032AB5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85355F71-529E-4558-BBA0-022E1DBDC0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71C726F8-F19A-41F7-93FA-911F4B91B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F5325185-9235-478C-A927-3C9AD3162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2368A6A0-029A-45A4-AFA5-6791FF632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5C9CAA48-5B31-45C1-8608-3F9956E328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3DEC1517-3E2B-45A1-8A49-0B416739C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68028070-60D1-45BB-B6F8-828335A68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CB7ED82B-13C1-448C-9997-40E1B3F8A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59EB4443-6C35-4890-93BF-5587C73FD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2955A949-A451-4E7A-8B6F-E16D812F8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50D3CDB1-272B-498A-A738-2D90719F5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A62A5629-94E5-4C2D-A255-2195644CE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B82E3058-4DBC-4419-9E74-E08991620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A50AFA6E-6491-4E61-A179-198B1C92924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CEC0B4AB-B72B-4BCF-8236-B68A11C4A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A410483A-859D-4DEB-A20D-697E2BB17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9B865445-2C09-4B89-8B83-727C68808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1E9ABC65-E868-44CD-95A0-4FEED0007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0954EE3C-2FB6-4D0B-A14C-3E9461033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9974CC6A-7434-4E9F-B299-1E843B22F8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E348C591-CC40-428A-A629-0EEDA5257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6EF37745-2899-4288-9D87-2E72EA943E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21800777-93F9-42BC-9DBA-A642188EB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6367EBFF-1751-4F6E-9BA4-6F6C5BD7D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BC32870C-6A19-493A-8E31-03A735EFF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DCCB1175-66D1-4DAF-801E-C12BF808A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CC2A7D0E-D56C-4F3A-BEC8-DD7F801B1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BFB90E49-219B-425E-931C-F2B1B99C0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52C507EE-3F77-4171-9F7E-6AA6F366D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9D2F8F2B-EBA2-4E10-A544-5A5A9259B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1241E0EB-00FD-4401-B712-D2DDCD4B5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0DAB36DC-B55D-46A8-994D-E03E0FA81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A8C66B23-C93F-405D-AAC5-0B1BFE6BF8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286FB6A4-B1C7-4A83-936D-9B59BF2C4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DADCA66F-DC6B-47FD-B550-B8F627944F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4D3AA7F1-6264-4E90-836A-7307F60C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B7B9325D-EA92-4DBC-9EE5-2E2237E1B5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B83B6667-3031-4700-B825-126602DFF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D1F2F624-A4FC-4F4F-8919-543A20A88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AB09059C-8244-4834-BAAC-658E1F859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BCCEC703-7287-4E51-BA9E-A2330CB62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30B2C425-B009-499B-9254-9914D035B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02E95572-FA45-4378-971F-EC821963BF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179B19A5-4A51-4164-B2D5-8F7FDB7E8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652FDC92-0822-4C35-8115-6274859B5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DF0F5802-A0A6-43D3-BE4C-CDB2720F63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39903FE9-702D-499C-96FB-BE1D818AA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85EB83D5-4FBF-40EF-B587-810C92A22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651D477F-4C97-42C4-A34B-D4BE8B9ED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57858BCB-1721-4747-816E-7969D245C9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4AE2C7B2-8482-454D-9869-7B51EEBA7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D7CF5853-78B3-4E74-A16A-515E068EA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A5886BE7-9FE5-425A-83D6-C5C8F3C7F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5FC4040A-4FC3-4C79-9AFB-D60E6D0EF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8DFCE877-04C8-4F87-B146-C7154FBA6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3DAA00C9-B40A-4897-952D-BDDD6000C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2FCC52F9-145F-4A92-8F32-E7C20F5B8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11727073-694C-49F4-8F10-8D77A3A27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C5A04DDA-424D-42A0-8E1F-9086C7C49F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6D343CB4-891C-4309-9A0C-E7650878E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684093AB-7EFC-485D-BC7B-9AEF1E3E5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67B25D52-A65A-4691-B6D8-AC250212C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969D9A93-7B91-45D3-888A-7A545C1922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A68ADC94-4094-42C9-B7EA-AB9789C86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EA76767D-F2C7-43D3-B062-CE8F8C967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4DAC9BBE-81E2-404F-8F41-723D3775A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C4E3FDF8-7487-44AC-BC12-A1CE1659B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C5D03935-38A6-405C-8DBD-A0E4168AD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0025E66E-D429-4992-937E-3C9F1B9993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289F5924-A8F2-4802-A0CE-A68F92F26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E43F08D3-2C0E-4E91-9799-F9953C7AD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55C8F76D-4B97-4C67-AE03-78336AB9BA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86ED748C-7A9E-43B5-AF5C-23A3FB201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608985C1-EC1F-4528-B0C8-1C719FBA7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5B0EF6A4-5A68-4DFF-A93A-F71FB78DB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EFC79C46-D5D7-457E-B9C7-13AEF7E7DA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BA572A7E-9A27-4FF4-8E79-5E0BB84F8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440FBCD4-411A-4140-B4E2-731A988A7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7330AD8D-8A56-4DF2-A9BE-A115A66D7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68B931FF-E9D4-4204-9246-593CF7DEE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190F88BD-D741-4466-B632-B33DB3E10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2815B7FC-B996-4C84-9C07-E5BBF60E2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51368324-765E-4C55-8977-F0721CA65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851B9709-A99B-4F5C-91CE-927BA65BC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5D51A585-3A90-4353-8334-33E971EEF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5C88E641-23CB-4BE6-909F-DEE605D504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4F442CF2-7E93-49EF-B14C-D396A8E00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F3731C4B-2014-441A-BEA2-57DCC0B7EB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6AFF215A-268A-4EE4-9411-A630D4EDD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EA373680-746A-435B-B931-695EE021B4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9C91E3D2-35F6-4930-8C18-833B7A2B2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931B766D-4BD3-4FAA-B018-0BA9F69F5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FD2E89F3-9621-4C0E-836D-9C616D1BF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744B193F-68A4-46DE-9BDF-96D1FED01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4D120191-B1B7-485B-8C89-98BC49BE1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7C35CEDC-AB34-4D6B-A876-EF684DAFEC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470841C3-9321-48CB-8920-AB919997D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0BCABED7-EB1F-4BBC-BA9C-38C3616C0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F0E39A4F-B7E5-49CA-A78B-1FD54AED8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04B0F9DB-A1B7-4B7A-A33A-6E494B7E8A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67D10AC3-D2BE-4704-83A9-9B5EF8D67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F441D73F-B9DA-4508-AAEB-4AC22AAB50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9B57112A-A75D-40C6-8853-AEBB324EF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EF3CF93B-9474-41CE-87B0-58EDB9E16B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61FA1EFE-72FA-4F59-8CFE-102D20715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17247331-3FFA-47D9-9F33-48C68A668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47EFA2DB-E289-46CB-A74D-F951181B3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523CC567-CF29-4B84-8DE1-33C985395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3F729417-8178-4815-8594-D2B78E240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D2E9A1F9-2101-406F-85B5-4E1906A72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E2799293-0C90-42B1-9C39-1FDD13A00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08DA580B-C1E2-417B-8858-9B7BD77FDB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F94714B5-A431-47F6-8C16-4ACACFCDE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9967BB07-96FA-4DAC-A99A-589728EA9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04E470C2-AAC1-4ED9-898B-532FDB349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5D70679D-7AEA-43B2-9AA7-DECF67B21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2DA307F1-FC78-4EC7-9CC5-079B47B99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FF0654DD-5F7D-4EDE-95BC-BF21A4A67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4E19C19C-1247-488C-99D3-551C2A73B3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5C51850D-F141-4803-89B3-05AF35E35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1901A865-97A1-457A-9BC0-0107BEA37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15F4CFFA-C678-47AB-8354-E9F767273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1E63C865-CFFC-4EF1-A05D-E3B9F419F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601E6DE0-2CE0-414B-8B6D-D1FCC02C7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A8C7CBF3-AB2A-428A-AAB7-B28ECB671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16F3920F-1CE3-491E-88B1-EC4E8087D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96CC2E77-437A-420E-A66E-86BB04ACE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33B2326F-9D1B-4AFB-83DF-264D363B651E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FE1F092F-952E-49E6-9F5D-E3A9BB9A0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6C47B278-80CD-4B6B-AEE2-34F0CC019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514677E9-D6F2-42D4-AEFC-1B75535FF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C14A3018-7F2B-4197-AF99-2D38E9E67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EF5A34BA-DB0F-44CF-8288-E3DA66309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491F9973-1253-4C52-8C2D-AA8F3E6D9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A813C7A7-936A-42F0-B5BD-178AEB9CF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C6F75F99-8330-468E-BC32-0B3526CE22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AC2233F3-BA21-4266-83C4-95DCA95B9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1EC2C126-6131-4C71-8477-E348CF665F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7FA9A420-8340-4D49-B038-309386AC3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40B37D49-09CC-4CA2-89DD-C6BCAB81E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F6714773-9930-4883-8F58-F09654B30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6597BD35-C606-49F9-8B0E-2C6EDCF35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F1959649-05A4-44B1-99C1-3DDA79F5B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463339E8-E000-4CB5-8E35-203F2B018B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802621F3-0F84-4408-A4B4-60D790F24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DF181191-AB18-428C-8D1C-B57D5BCE29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29F23632-A62B-4E6E-8456-00F6F7E48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F61D9B2D-42B0-485E-8729-1BFD5A4C44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D6091494-932A-486B-AED8-C1F93AE9D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C1C13D17-7683-47B8-85E7-189E38D2A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96C4FC4F-8489-480E-BC63-EA1305D69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8FFA27F7-4F0E-44A1-817D-00876A2C3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E6612834-6873-44E9-A22D-81959DA71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A536BCF8-D475-4801-9F74-7A281B9DBB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56622508-E59C-4641-B232-819225210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7B1CBB15-9DEF-487C-8E4D-D0210F708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D709FBF2-6FB3-4B3B-A3F7-2C87EFB14D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CB73A03E-936F-4CC6-86CF-274A14CB9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9384E12A-BF50-4A2E-A60E-3C1B2A9CB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AD3ACD04-4178-4024-9B9D-EE8C86CA6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4385A00E-ED53-4748-BD8D-ED46247755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968D35EA-FF25-494C-B25A-2DF228DFD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3CEC9239-7F96-4F03-A1B2-CDCCBAA5E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FB548ED7-5715-4D95-A78F-743C2F098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0D3A3EFA-3C6C-4DF0-A86C-3FB61732C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0EFAFF3A-5823-4032-B55F-4AA4B1373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FA80457E-9A99-4FC2-BBC0-A1E72BCA8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A85CE651-755B-4BE3-B974-617F1E0EB5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E63EE516-0096-4830-ADF8-3E2E192D9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9BA0CA82-A63C-4B66-8480-E07CC3F942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8BF76A39-CA9B-49ED-858A-8F1D1A839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FBE374F9-AA9D-4ADE-81D4-F6035688F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F5A133FA-27B6-42B8-9FC7-564A599174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EDC5A109-921E-42B6-B1C8-BFEDCA823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6E3CCC5F-386D-4D45-B91A-18CE004A3A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D042E7FF-7C52-4EE3-AEDB-F7BA073E7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63CF0EFD-2F55-4409-A220-2418381165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7992A3B0-085B-4979-95B6-79D2FE137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609344A8-FC8E-4346-BD9A-930EC1E3A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09D11979-53C7-4A85-BB9A-28A977BEB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DDD87B28-584F-4DB3-9D1F-15A65B5FC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2D0154C2-123B-46D3-90FB-AAEF57195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20A5136A-4EEC-46CD-9905-254958B5B6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8BB39B70-8A91-4802-9D6F-F1B28681B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3EB44875-ED71-4DA9-A0AE-EFCB163DD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5EEF11E9-E648-49F3-A2D4-2CC4B1337C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713600D5-BCA2-4016-9470-52187E95E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48E270AF-31C2-4189-8AE8-761543926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34607191-EEA3-4E33-9D33-6410B4BEB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32BF7452-980A-4AE4-BAB9-9AF340B9E7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2BA159FF-6230-41F9-A9A8-BA511BF8B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7E9CD426-02D4-41DF-8AA8-86B15B2BC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60C8E5C3-92F0-42A7-90BC-58B4770BA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B42DD23F-EFA9-405E-A879-070D23705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0CA4E2ED-7C9B-4131-974D-BBC7B72EF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748ED847-42DA-47AD-89A5-F3A1F1D1E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73C77E08-7B84-4A23-ACDA-0F74C5A635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9F62EA06-E3A0-4741-894B-86AD53AD9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E01C20E6-3EE5-4B0A-B7D3-786DADC888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ECA51757-6D97-4D00-A619-78986FED7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7F9A5AF3-BD8A-490A-A9B2-F7763EAAB5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EA67DC55-DEF2-4169-AFF4-3F62E4D17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EC4B5FCB-CB9B-4BD0-9B5F-DE3EF6134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FD0D79E3-4CFC-401D-A553-7487CDF27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EB08DF2B-762F-4014-8F4D-34AAEC573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F15974C3-7C6C-44D8-81C4-4E1C4E8F8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FF1AC62E-B969-443F-A591-FA33778B3E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1755B800-3E15-4579-B968-3A6A98137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EF0A5FB4-C26F-4C74-B1D7-41C05BB22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8727C061-0C62-4733-A28F-1ABA31AD0D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D7E76027-D3E8-494F-B322-8B531E689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03034D5E-5ACB-4B28-96E1-859E4ED81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1FED26F1-4FF4-4CAB-97C4-0688F64C0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CCC716E9-70D3-476C-B5C8-C0A9681807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7C147925-5E76-4798-8820-00C105D5D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28DE7CAE-75D4-4430-B058-D453C07AA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81ED75CD-6168-4AA5-AE9C-EFB24272E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6E0E38A9-F8E7-4C59-BA30-5C5BAA944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406BFF60-C482-4360-B161-1B65EC8B8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03C9F6FA-BE9B-4EB9-AE9B-5C487E6B3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8114D276-848E-4121-81C5-1B66FC645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E85EBD82-5821-4616-A18A-F11D9F899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F415E1B8-71C5-4AF4-A0C3-7C680CB50A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81552955-E064-4CAF-BE92-610D9CE1E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2B8642CD-6B4B-4BAB-9109-56E4770F5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0B0E7A9A-AF8E-45C3-91CC-1FEB08D6F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1489340D-C054-415B-B7E3-84F1987774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91A494EB-1B9F-47A3-9272-9C175D5FA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AC64912F-C06E-42E1-B687-E1388A961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79A75B2B-ED9C-49C5-82F3-9399475B7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E6BD5DA7-32DA-460F-AEC4-47CEC3578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4AB45775-926D-4075-B8EF-88C9BA861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8FA03480-EA52-4B68-B74D-D312447177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A0154D96-D6D8-4B1C-89FA-CD94B9689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AD8576B2-5103-4E45-BF51-56631F63D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9CF841A0-A514-4ABB-84F4-C815086AF6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EAF1A515-00AF-4129-A802-8783820F7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C5D4037D-0D34-4AEB-88F3-9647DAC6C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9721F9C6-1DBD-4032-987C-BA25D7225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853651FA-AB29-4EF5-9888-264D16E9E1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57E44AE4-711E-463B-8428-644098D5A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4E4D8ABF-F58D-4DC4-9058-F4158F6D1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CCA0F872-1775-4008-ABD1-B361A1030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C318AC91-9C95-4357-8420-F7D55DBFA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10A0CD0D-D6C7-42BA-A8EF-424909409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C4CDEE80-8F92-43AC-BE81-EFB500F2C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84BB437D-64D4-4929-82C2-0CF554449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E90B74C7-F46B-4AF6-B4C6-9D850BB1A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8096A58F-79B1-4B7B-B8D0-A1BF81993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6832001D-A8AE-4544-AD3D-8BEB50789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6BFF36E6-5081-4D44-98BC-1580D7C137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FC0675BB-B934-4BAF-8A82-9A9BEFA00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D14C7E6C-B031-44ED-B276-8A91E42D0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F8BE8E58-5657-4E48-9C48-3AD2A89D6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FA375D73-ED15-4E86-BD2E-2B00B986C5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A2B9ADA2-1105-4278-85C6-768826A6B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1D7F0600-FACC-4B7E-B8EF-7F1BFF202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2655137E-5712-4C12-85C9-82726AD97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4CBB8603-7C42-49B7-91B2-09B700C11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54F61DF2-9E48-44B1-B403-31E8059DE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C58C8B8F-B225-436A-9264-F22980151B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7CBF0BE8-9F41-4840-B237-2E8811BA0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7923F506-675B-4746-9A56-86255C37C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45B8B654-F414-4C0F-8C2B-FACE7D6785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2EF0CAE9-5C1A-4FE5-A165-B949B1639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DBDB462A-0281-448C-BB8B-E2F0CC594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2684AF28-9484-403D-96DB-75D94A99C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41BF1F64-CDFB-4FE6-A0E4-F12637A553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24CA5BBE-A4DB-4241-9987-A3FB19A40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29D2056C-A0B8-45A5-B9A1-5994A28CF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A93854D9-C0BE-4197-B85E-EC71B383F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173793F6-824F-4B3A-A75F-9294A7A74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A118C5A7-7A4E-4969-B378-8A51D8FBB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878CE725-4B77-4388-B357-209210F50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3F751D03-CA6D-4C02-9E67-B70227C254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8696320F-D5C1-4019-8ED8-95A379D48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15903111-112A-41EF-9E31-39108C174F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8D0EBEBF-8897-424C-B4E2-A86631B4A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62C6D357-A3CA-4106-8EAE-19812CD9A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EC5935C7-4297-473D-BF91-76462E019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1B825788-85C3-4BB7-90A6-BBDF2C382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D78F6C4F-4805-47FD-ACBC-E9836B96A6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0A258D10-4047-4346-83FB-5990B79A7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9F570030-8E34-4D58-9172-CDAB72586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95828444-FAD1-44A8-AEAC-A5519852E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601F427A-020A-4BDB-9C2F-D67FC1E540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50CCECEF-BA65-4FFC-96B5-5ADFF3FCE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5CADDC3D-22AE-4451-9937-F029896EF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281ADFA0-2702-4047-A471-DE2043E28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8F18F84C-CE39-429B-A096-4814F8843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507CB05A-87F4-415A-8E26-8141987C4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F5928424-30AF-4D4A-B253-E480735FD4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71109594-E5D2-451E-9A91-09D56EB5A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794D6407-D6D2-4E71-8383-121859DB4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CC9C3851-D266-43C0-AA5E-07366B8DB4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5C6A6E74-59DC-4E3D-AE61-5B6DD80C7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DDFB02DC-4E6F-41E7-8CC9-DC2D586BD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222275E6-E382-4BC3-98FB-2B560DFC7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8885BC24-3FFC-49C8-907A-D48D05166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A09F2CAB-E55B-4396-9046-217EA4CEE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2EFF22AD-76DF-4A85-9380-D0F4E8EF4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2F35081C-2158-4ACE-903C-70674B05B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466E3C30-0D35-4030-873E-6E854D7F3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00F35811-225B-4932-971C-6C46B74D4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7B51D655-E8CF-4630-8AA0-F73D7D2455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BB97EA1E-E911-4C27-8553-AED93D9F3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88BC3740-DCCC-4856-8660-6CD559B5C6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AE3CEFC2-74B7-41F8-B3ED-0E47836A2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1604F559-C19F-4CA8-9A91-45E1BBC84E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35CB5280-7931-460C-8AE9-D4CB67496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01B1985D-3B85-4EE3-BF41-E011A065C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53CF87E3-BA28-4157-8E41-F14EBC0AD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28853E35-375F-4E06-884B-635F3BBBF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75BFF9E2-77BA-4170-A6BC-6683040E6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0D656337-2CB9-4E31-AAC2-39D62E637A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AC2426DA-EF12-42BF-B940-D1F49C7A3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2ECA146A-37C5-4018-AFFE-9F22773BA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F7B2053C-6C29-4B1D-8458-D6904694DB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0A4310F3-458C-447B-9968-C9E134127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B64D5ADD-27B9-4D59-AC7D-C3D755FDC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68211828-E9FC-4EE0-8075-2F0EF1383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11C236DF-D763-4A43-9AD8-627F0F7728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14D9542E-3EA0-4F09-861A-56A3D0C5C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F2E926F0-22B8-4581-9411-C60FA9AE9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5133DF0D-5C4D-49FC-AF27-7B4C24917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C498B010-C08C-47DE-BC86-DF0A62121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18CB6296-2023-444C-8BB4-82193B480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191FD823-E904-454F-82BD-DFF5EC170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C146F83E-A6DC-4B03-B8CF-C27FD24EF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14BE880E-0B75-41E3-B03A-52D8E3FEA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0D0D4F05-56DD-4FA4-8FE1-12D5141C31B6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628C5DD3-23E5-4E35-8A58-4FE5BEF9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569BF438-47C7-491C-8F7D-2A3D0679E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D1EE1F87-AF8D-4EE8-98A3-15E90E4AF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5B58B06A-8011-4F45-B390-42A4AB268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57B0A7B9-75ED-4447-AE50-5A4F4A046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A1929DC9-89DC-416E-915C-8A0EF52F83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E86BCE47-3A8C-4609-B5B9-69C2293BE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484F606F-93FB-4461-89DE-668724AC99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41252C10-691E-4E79-87D1-75A676F69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86E639EF-79B7-4D92-B01D-389916A60F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DE940FF8-6932-4263-9CA2-E265EF654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01C588B6-539F-4E60-97DD-36B1D0BBD5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0F8A4F51-C2C5-4BA5-A41C-316D05C80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65AF0E97-30C9-4579-9C3D-E3FC05B0E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F7F20981-3C05-4A09-ACCF-31EBA8F06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AAAEEC8E-96A3-4EF3-88E5-E28D20042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4BAB3976-8CEA-4681-8C76-ECB227853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2FC1FD82-3D27-4791-8E5A-71229F719C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D303406E-805C-418B-B13C-B218CFFD1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398F68FA-0E14-40FB-8CCC-902A73C2C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950E632D-4A7D-4759-8950-53DC039022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F9E67F10-86F2-4F7F-B91A-FD67FA2FA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1589F94F-07D4-4624-9AE9-CF5B7B8A5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06ACA712-6BB7-4281-9C04-824EFE5BC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383B8D6F-4695-4914-BA90-835947C2A8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40A4191F-17F5-474C-825A-88D2006C8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A83D86BE-8953-4AA5-B950-CCDF7E671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409676AD-6DA2-4210-8DBA-E59552DF5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633FB08D-E5C9-4669-BBEA-7EB69947D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ED9CEF02-7959-4B2E-8E8E-CB2C9AECD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65918A65-C358-4B64-BB60-BD246D512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AD389902-BBE1-4B1D-B590-86649189E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821E3D8E-2B3B-49F1-BD06-DA185E937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25A80ED3-3FF6-41BE-9DD4-398C425A5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6B498F6C-5AA7-4AF7-8A33-162D72487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5B91498D-9BA3-48A4-8F39-6D0221FBC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1BBCA635-116E-4505-BD4B-F12AAEDB2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64D68139-5215-4AC1-B0B4-5A5C190AA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FDA885E1-BA46-45AF-9841-1ABD373744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39FF86AE-84F8-456B-BA96-58C93D32F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0C8B85E2-8AAA-4CAE-BE9C-C7E8F14A0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858A142C-5E09-47BD-B811-42618AC267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E766F88C-B2C2-4271-8788-805787C6B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9DF6FDF8-98CD-4534-A30A-7703EDDDCD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10EE3B33-4B83-4544-83F4-04B00C932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E7FA1AAA-2E1D-4566-8763-ADC3A0654E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7CBC5A5A-728E-490C-8536-D8AFD57C0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4B217AAA-F614-453F-9C00-A2F86F1F5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EC4D5BAC-CA11-4FAC-90E8-760039591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2B1D0EA4-B0A2-4476-9673-E9FBD07FD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4B58D41A-EDF3-4C39-BA87-38E7BF14D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AEBC65A1-B6D3-4E8B-B4DC-B354141E72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B27962F0-6FA0-4821-9C2D-36CD84950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BE6C49EB-2A28-48A7-9196-D4B16900E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16E40BB4-3A29-4F7E-9A81-F9A79223FD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A79413AB-532B-4AC0-BD5E-EE2E31963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079BF279-DC25-4B7D-A07D-1F394FB3A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028677B7-02CD-4A70-B2BA-74C311578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98ED7C84-2964-4503-ACAD-52FFF2CE78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B071F41F-A7B1-4EAD-A154-C9BEB41F8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EC41A26D-880D-4299-AFDC-D7D55D652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F1B338AB-8CD2-4F78-8F95-64DED0630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A5FBE0CB-1BAE-4BF7-B387-E173B2186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4552D4A1-3214-4CF4-8BAD-5A07521CD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CD5E6AAA-5EA3-4841-97EB-8F0E75E1B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82C2F562-113C-41AD-9F88-B3C371DF7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16AF9121-CD9F-4B54-9DF8-B5072E35B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8280A249-6E06-4972-A414-30F05FFC495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856FB622-B76E-4841-8AEA-58DECB457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D5CC8D46-6EBC-4BAC-BFB9-2A126E771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45A4ABB0-4D95-4A7D-BD8A-8EC9858EE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A00B56EF-3F77-4B02-A029-6F58D54F4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1DF76C34-7F10-47BB-A317-D95A79FF5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608DB307-12BE-4C6F-9308-5D12C7CC4D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54460BD5-A458-406E-8A4B-97728A33C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AC8AEDFF-659A-4214-8557-BCF76AFC6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DC92E36D-BCDD-4BC0-8E95-DAE462CBF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95EBC489-5E25-4176-9BAA-CA2D42FFE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85F460AF-3254-49F8-8755-15A2E507C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78EB3865-27E6-4DFB-A43D-3CB561FA4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8EDD8C84-2D6A-45B3-A97D-8AF404F92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A5694834-6DEB-4B64-B667-EFC6D4CE7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5370F895-AC6F-43AA-ABDA-03CF535E9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69A5DA0B-69AC-4FCE-B47D-B2750A534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788CC25A-C4E7-448D-B76F-B78A92F65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53130F4F-2CCE-4442-AA10-FBF1CF00E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7E047CD8-EEB3-455D-BF5C-3F519ABCE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3292E612-91B5-4758-A000-BB52209E3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BBFD4832-22FD-482C-9EB4-CF15BE328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59011990-B9BF-4688-8463-6F8C8817C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8A618EC1-8435-402E-9309-010073061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FF98F4B7-4523-474C-9378-D70DA1DF1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140ED377-1BB1-4C0E-AE4F-24C256B9B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A63208E3-366D-4B1F-912D-F11240463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4A123DC8-7BB2-4258-B16F-22890DF40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5017AB68-D6CA-42E1-A129-1BA892E20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F292539A-4A21-4293-A29B-2A045E862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8C5C70D6-9B1B-4847-A9D5-1BE9519D6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BBEBE34E-067C-4504-A454-0FE4FE9A7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A31C5D36-9200-4A3D-9909-7FFF558B6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3FFA677C-E4F7-4622-BD59-672FBC8C8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658FDF42-7867-46E6-BA47-9E17F7408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BAD321D1-8213-465F-8CF4-61995DD6B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D93B5B5D-9CA7-4428-BE21-C6FAD21CA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A472D850-CA1A-40A8-A8E8-2ACEA233A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9B15D935-E853-49DB-BBE9-68203D23A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9F7DB710-0F0F-4F84-814F-58C1A1238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41A93402-D356-4F5A-8570-4B6AA8FE7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69E10ACD-275C-4251-9A5A-D930BBCE9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529124B5-58A9-4E50-8EFB-AFBEE6C6F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7C563ED8-D281-4C65-91AC-0479E0EF5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A5B83D36-0C9E-4675-BB14-5A9DA7DB1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0D6EA417-5F17-426D-B0E9-25536710C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10FD4F15-D7E5-4DE1-B0DE-4B21BEFAE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ED7007CA-23F8-408A-9469-FA7F260AA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148E501E-A855-4CFB-9C7A-356E9577E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61C137BB-6289-4A8A-9B1A-98B51434B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E065CFC2-054D-4A55-A1C3-9E479ABE5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654FB813-AC9B-4354-9A66-E707868D81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5C34749A-382B-4336-BB7A-4918BEAB7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5486835A-2B17-4806-AED2-0435DC57C7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AA64841A-F26A-4E5E-93AE-98BE213B4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CF79477A-42F4-4653-B4A4-9DE7B6B53D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B098E72E-1E50-4473-8C58-3C7BC5BEC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9AB7B330-96A6-4188-AA26-43E032B3E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159711DD-5303-4898-9164-932985549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BD013A5D-F300-412A-8785-9067D8D81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E96DF520-1DED-4A64-B4C7-2781A3485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E7A28602-2FFE-45B2-BC2F-D22599742E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7815703C-ED61-4151-9354-8C1DECC27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CCA5BD83-B5E6-4E62-B299-D758A9910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76835779-DBAD-4C81-8808-F6E8E78C2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697DC449-697F-4CEC-8CF9-AFC57FF41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7C79D45C-F56E-4A49-94AE-597B8C1F1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8442AAA2-27A0-480D-87EF-27F3E07F3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B6D3F1D5-4896-42F1-A0FD-FE530CD193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00DACFB4-AD49-4798-A508-5F8BBE9FF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F6F4442B-2553-46A7-BE36-0852BDE70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F5424FB0-842E-4736-AFE7-A0EE04B21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588462F4-6250-40E8-BB1A-F433D3C04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46C90C5A-31D8-41BF-9F44-9401966F6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2B207745-6B44-4D87-AA8C-E45B98784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2A2D18C9-CB40-415C-98C4-760AEE171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F7EB5ACF-8375-42FD-9DE8-7BD6D60C8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9105BA86-697D-4E96-AB10-8DD9EF18A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77FC6866-AD4C-4AB3-B85F-3B1CA36AC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2666F1AD-685A-414E-9945-DD73A99D2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E1236D25-41AE-4D23-821F-D2FA8A8AC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6A9194C0-5227-4A20-97A4-CBC876EF5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C32A3550-A3CD-4FD3-928A-28044FC70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8924F794-7AC9-493E-8130-DF1A71F8CF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813E0DD4-E339-4901-9745-77CD55D27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73810E08-6549-42F0-9FA0-EC5A7080DB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514EF320-2367-4E40-87E5-B598F491D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A9F6E885-78F6-43A0-9BDC-6D9CBF93D5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18F5B55E-5F3D-4D4D-A481-18EC15996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2EB4CF00-D429-4746-99F4-B37EBD70F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02CAFE49-2FC0-4A5C-BE00-7F1E2D538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1EE87FFE-7BC3-4ABA-91D5-16E21BDF1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48FA3B22-8CE1-4048-8C35-311B10CFB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23087091-D969-4204-9D80-827536F134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48ED9466-0300-48C9-8FE7-36EDAEE04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322E03C0-075C-4A9B-BDE0-CD2D602BE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DE776420-88EC-47EF-AA59-F499BAB380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D7D4467A-9C16-4681-9CAC-550AB4A98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5E560B0C-DFBD-42A2-9D1F-B97AEBDE4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83636293-D083-4878-9B07-9B683E054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7CC5760A-C86D-4C71-B89C-35CDAD87E1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CE59CE1D-3865-4872-9D14-EFC2BE1AB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0825E9BA-CFD9-4E33-A687-296B14CC8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8D2B3E7B-0906-4EBF-80DB-F136A4801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0EA1D824-7B72-4B4E-8833-C47E93157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A0B16E5E-000E-40A1-B073-6356CEF76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B36C9B88-7DA6-47EA-92B6-42132062B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10B7ED9A-7BD4-435B-853A-CEC684C3E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D24720BD-8F05-4D18-94E2-87DD96654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A48191C8-C6BF-4E47-91E2-F05D09858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DB2E4916-C1D0-4B27-AF0A-CE5722083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FAA23641-2F5B-4208-9353-8EC697A71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7D5DB89B-496A-4AB9-A0E4-1348B0F13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0630C1BB-2B90-4A9A-B1E6-E200D5494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1FEFF0E4-7E96-4975-B42D-057F610C7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A40894BB-4775-446B-BB19-C94151AF3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35DDFC85-9879-4900-87C8-8DD13B7A3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19394725-4421-4FFB-B937-F99518272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2763AD0A-E7D3-42C3-9012-FBD55DC50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1B277769-4E61-4390-9928-E465D35B9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416EF5A8-7DAA-451D-ADEB-740B51200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93F54A0A-4AB1-45CA-8B78-C7EE6F5A1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99E8EBDE-801E-4E20-A922-72AE25D93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79AC9DB9-040C-4C3D-8505-B507A7F3C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9D847D61-23D6-48F5-8AA9-810D69884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ECD7C7F3-54CE-40FA-9F41-4F3BD6263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8F15B0EB-4D95-499D-9F37-28EBA559E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AC7C8E58-C390-4AD8-A937-45C5283B8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93337CAD-6369-44B9-8A36-603C37406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4B7EC177-DD6B-4F78-957C-2515C8510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F3A272EF-D080-4727-B2AE-61AA66D0F9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70BE4344-B5C0-4FFB-9D03-4A357A911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734C49D9-85E2-470E-A9E3-6B6B5DEBE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F67FEB55-D496-4BE5-955B-5F923A603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F02BD437-8B14-4CD8-8476-28BC6269FC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91C36DF1-E0F3-47C3-AC48-5D8E65740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D2ED47A5-84C6-477C-B50D-C330D3D2C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84B4DA93-4522-42C1-AF74-3648BA755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1CA8BDB0-7394-4375-AC4D-D2236A9D3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118D7CE3-51E8-45D5-94D7-FFEA6A150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2DF85727-AD90-41C5-8C4E-E21130F71F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AC31FDA6-68D4-4A3A-B43E-A1825DEF5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525B0FB6-088A-4F2B-97EF-393524418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2B623009-2EAD-4A02-945F-3DCC1643D8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1B183681-E67D-42AC-BBC7-EC4F9402A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5338EE1D-E6A2-489B-A10D-8A45BA282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CBD1DE82-96CA-4634-A643-CB5B63905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A1BF80D4-ED1E-4D15-B4BB-793CB075B6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8FF34294-253F-46E3-B618-E242CD07C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9BAAFD7C-1158-4D24-A50F-316450A83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0DB83165-FB07-4164-914C-CBECB4848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B58676CA-F921-46CD-9823-3F8D80EF1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44DC365B-4E84-4373-BAAB-5C7DD8A3A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EE12BFC9-CE5B-4AAB-A7CB-198F370E1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5BAEDCDD-CFB3-481B-A77E-6B912D4289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097F25DB-71ED-415A-A77E-B6E2C9A01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A9158FDB-6FA9-4F89-B69C-50332787AD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28C6E81D-F3F7-42DC-9060-62D4F4E37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E5929F76-9CFB-49B3-B1E8-159D35531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7C57AC2D-C32F-489E-8CA7-628FCA191F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04ED0C62-AEF6-443C-AA4B-E7854CB13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6A3BE0B9-408C-40CD-9202-A8D2D9DF28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E21FFD9E-63DA-491E-9919-13DCB22F2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3933B5DF-8CB2-4940-BD9A-B7BF128F26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EEA8511E-61A3-4723-A805-78320B976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1F87F7F9-2987-4CF1-98A8-E06699045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78F55DDC-C59A-4488-A343-E30C87913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274A2A69-1ECA-4595-997F-D0D86EE6A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AA81DFAA-6D74-409C-90F2-BAF94FBA8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2F4105B6-A8F4-4B4A-B960-1F417F01A6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CCF10A42-353C-4590-8F71-2B1D3D4A2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4E57A5AC-15C9-46BE-BA79-49F27A84B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29BD7D28-7228-4F37-B406-D107BE8A15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FBBA7013-8167-48B8-9C45-BDD4CFBAA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8BD16B2A-D129-43ED-9A2A-3660C56B2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F3FDA199-B86A-433F-8F53-E62B882BE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4E331CE5-D699-4324-A5B7-B62BFD2F0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50DF94BB-6418-4D1B-83AE-C378A2765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49193C12-1173-4701-ADCF-20A3719F9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74AB2021-8883-4541-8496-D22EF6ECC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4BB26F43-E288-4278-9921-55A7132C1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8B1CBEC7-B411-419F-94BA-875E1C3D3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B201C190-69C7-4596-B8A0-9AB208CC9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F866F46C-B76F-4849-9DE4-8489EBA01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25E18C4A-24E9-4D31-AF98-A2D99CC3A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0106A42F-837C-4879-B4E5-046F272D4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E4B7C5CB-EEF1-46FC-BB53-413671C2A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C0015A88-47ED-425F-9024-801AD1CE4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422D70BE-EE22-445B-A25B-36A2667FF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C7183AD4-FA88-47A6-AC63-11F8906C0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D4A7742F-A7E1-4118-983F-003E59008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6A61AD38-887E-43AA-B9FD-E7901ECD2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667CA415-F0F3-4FFE-86FA-BC6E02B8E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0B2DAF69-ECF5-44BA-9E92-7E44D8062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7D750663-AAF1-4CFF-B7EE-1D558AC4F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BBEE54B3-3254-49EC-AE33-2DFF09ADB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F91EDEF2-532D-4242-8070-316391065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6F958F4D-23BB-4B16-9C24-B1071B296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81326330-0F26-4CFA-810A-ABA7E0361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59E166FC-A07B-4F6A-8DAF-01061C1F8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00CAAA29-687C-4C9A-ACBA-617A39D00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4ABC2A45-1706-405E-AD32-986709F71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9F8FFE16-33BE-4E85-9902-B9143A449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53C6505A-3D7E-4C62-B1D8-D1C78E751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D3C6ACAA-6A54-4E85-90D9-45BB72A902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5FC6314D-9BD7-442C-8780-DFE267202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330682C6-E377-40E9-894F-57579E1FD4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92231B7E-CE43-4AF6-8DA1-6566F2E7C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AAF6C0F7-2A98-4DD2-AD6A-658E3ADA2B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6D951895-417C-4FB2-980C-B1FBEB011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595AD600-051B-40DA-9CE8-69E741D51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ABA0BBF3-F31D-4EC8-940E-D0AE366FF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0B22AEED-C4D2-485B-97A9-BD6009C69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92F4A313-49C2-4AB2-9F5B-B8C467903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76888AD4-8396-4D27-99D2-B5C4F4DB64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0D920D01-EFB5-48FD-A6C7-16F54A3BB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AAA425E4-4EF8-4DA0-8E80-6195F0763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1DCDF6EA-1DB7-4FA8-A7D2-61214B3A65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69B45696-06C2-4801-973E-2C4831032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AF7D0B5D-4404-4CE6-91F2-6CBEE2EF0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57D683AE-639D-4599-B7C5-5586CE462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277016F5-EC71-49D1-AC48-AEDBE9A09D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2618F68D-EBA0-4F32-AB12-A1E49D29A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D8D12704-D099-4815-A9CC-F3943EE7A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A56ADAFB-3088-48C2-B54F-C241B7A87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6037F3F5-3F45-43A7-A58F-36003E4F5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4D3ACA09-4008-4729-80E6-FD705457B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18F6BCC9-2FC0-43CF-824F-22C67B2AB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D040E295-8849-41D1-9008-EE26AC060C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8FCC34CF-6FB8-4E5D-8EBC-29F716D94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2008F9EC-FA28-4F5C-A5D1-73E89121D7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B0997B1C-1225-43B2-ABA8-83E86CEDA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C15B7959-1E4D-4C5F-BDC0-10329EE2E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A17753AD-DB75-4FDE-BBF4-92E4EDDC58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94D9F73F-1E20-432F-9FB6-52A9C3FE2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269D93D2-8C18-4911-A68D-E1533B902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493CCAF8-DBDC-4C5C-8668-F8CB4EE4F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64A6FA0F-3038-4DC9-B615-AFF5158A8D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4B08BB69-4742-43F9-A048-1C4A3A280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80DD3E57-5049-471C-9E96-11E08FA86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3782A29D-70B7-4312-9D55-6F7F1B7AC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5B1C7C09-A679-472D-B315-4CAF15840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66CA1324-AC8B-4255-A7A9-CDE44BE83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C63C5962-AE12-4111-BDE7-F3AC2B6580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1122172A-BDE3-4867-A867-3CAAFFF14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4F4C541B-49B2-4148-A76F-8A3583838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96910D8B-4CDE-45AD-9650-E08C5D8CF7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F0FE5541-9C33-4940-B93E-005F08DFC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8D549BD6-3145-45EC-B2A0-FBC158F8B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E57848FA-9073-4F0F-92BC-45A95473A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AD545AD6-6FB0-4B33-99DD-F2EFB5B921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42130A35-8481-4C1B-B8BA-EEEEA9B49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12414FD1-3FC4-4624-9DFD-480119C7A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47AC32F6-02F1-47CE-8E0F-6BBB36B5B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04FBD754-1557-4019-98D6-4CE5A1490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30665891-E334-4CD1-9AA9-1A2E8EE27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8CC1A78E-8335-4C7C-A6FB-5B3EACB54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BFF9FF7F-32E0-4D9C-83CB-12A595E9F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B895C5D0-A266-4EBC-9D5C-B0B587F50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EADB88EA-F1D8-4EF7-A5AF-FC54CE36C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892510F1-49E2-4DC8-A0F9-2D2A2156F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029C9952-29B2-48CE-9BF6-51E4CD407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A106F796-9045-4776-85D1-B0A9E1421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203C877E-F47A-4DD4-8585-12B634EAC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1D00BF77-9567-4519-9C6A-75613D65C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04007BA5-A36C-4DD0-B098-BB3B92845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CB040A40-3989-4146-9696-50820A264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24D08661-051E-4B4A-BE0F-CE48AB895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05163E51-905E-4C6C-8356-4AAFEE30B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12E2BE83-9ABF-48B8-AE8B-05142D6E3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3B323DCA-437A-4EEB-A8B1-5F41A461F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79F1F66C-073C-4079-AEFC-04D3AD437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53F0E7CC-6BE9-4FC2-B5DD-6AEACDDEF3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45260DC8-3DA7-44A9-89CF-C48B8819C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CA770039-69ED-4510-BECC-57C1ECD32F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88E800E4-03CC-4781-A70E-F6BCE4400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374D4802-5219-49EA-AE03-31D3160D3D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4CFA9007-6F87-4988-B915-7C769DB92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AC8C93FA-7D3E-4890-BF9C-C3A4AAFBE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72AF4C49-1288-4F2C-A0AA-117651527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B1C6B862-40DA-4B95-A81F-4B56222CA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87AACC8A-5776-46FC-8187-91EEADD71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83012315-CC12-4DF2-87DC-0A9406532F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03DD7E7E-AB89-414D-AD16-340975310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7F1462DA-601F-404D-B6EB-928EBF1BD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68FAAE62-138D-4EC7-A327-00B2BE98E9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D05865BC-3A14-42A5-BF47-B73C989CC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E8D2A013-5DA6-4072-A95C-4E59943E1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2ECB55EE-8B93-4E7C-8B7C-CA2220314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072F34D8-8B66-41B4-990D-DF195150DA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3E6877C3-652F-4D8D-A2D4-8E1901E54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77C6ADC5-8FA9-493B-BA42-803E872DC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29697880-FA02-49A3-AD02-88AE1EAB3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EFDB94D4-983B-4398-8CD6-2DDDBC7FA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E2B721FA-B63F-4A63-9515-DCD451B57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5DB61113-D705-4AE4-85E1-5AD76DAFD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B01B3D2F-8AE1-4EC1-8C80-855D47339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9DB5CE0D-4800-4C2E-BE9F-5E1F9323C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5968C26E-184A-4552-8A9B-DBE70727F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E5CA0700-5791-47F7-85E2-9F84AA785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72365304-D1ED-4FBC-91C6-FFDA712DF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B8896CDC-B9AB-4AED-A389-40543D792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7DF5ED6A-B303-4EC4-A358-2E94E8362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7586BBDD-834E-46E1-9A3F-CCA744EDD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7E5C089A-B0AE-4A24-A208-C5ED53ADC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13B2489E-A9A5-4256-B43A-B0B3CB5A2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B943C7F3-5F3D-4532-909D-07EA9ACAB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029E1C1C-DA3F-40C3-867C-EE4C43C3F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0B2F2F70-0964-4ED0-877F-4249A3E43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0C009DA9-92E0-4BB2-BC51-491F7D34B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5C4BCFCE-CC0D-4CB9-9BD8-27AF871E5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F22FE3DA-F1BE-4938-8FD8-81B989FB3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C5F85A94-3A4E-400A-9FDB-BDEBA98CD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CC7AA542-3F8B-4BA3-9CB6-24FDE79AA9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886A4BEB-BE84-4A41-90E2-3796EB1FA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8B318DBE-00ED-4E42-A7C6-52618A10D6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2472CC38-3489-45F4-AB79-37AB2CFD7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51BA0EE5-AC04-41F2-9F90-192FB856F1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FE44D3E1-01D5-4BE0-98D0-05A3A5F69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39F6021F-5E70-4FC0-9238-42B90337B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8D8FCD00-AF51-4FEA-9DA9-8787EEE89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06195E90-F0E4-4172-97CA-96036093F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34A4F0FD-0760-453A-B794-73A695CFC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40808509-4DB8-452B-BDFB-1C06DDD524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F4F3E96C-F98E-400B-9AE3-302264A4F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0575B2E1-412A-4242-8604-B4872C9BA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0BC468F1-82B4-409E-84A1-4A0BB50D47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16EA7466-413C-411A-8013-6CBB48FE9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5F160124-54FF-456E-8912-8D15DB17D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23F821B5-60EB-4C0B-AF5D-354726294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6A558F6F-9FB3-45D3-A2AC-28399B5C21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EF4F05C7-D7C0-405D-A7F6-311C31C3E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C98DC980-F4BD-4497-8F99-CE59E0E26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72F75093-92F9-46DD-8555-0AC2DECAC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BF9C4C3D-06F8-49E2-A9FB-E748D0139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427B8DF3-A54A-45B9-957D-35009B0DC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87B38518-1B19-4B2E-BB23-49B81F812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BDA81EFC-7DC6-4C2C-843A-F096A813A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E10AE174-C499-49E8-A088-E8CFF3667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A4233C10-DA2A-434A-8F33-590635C47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D6B2D0EF-7756-4CD8-A1AF-ECC7DA611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40EE73E1-3BF4-4759-B3DD-42B8AA99C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FAE9D3D4-031A-4F1E-A775-F29DAAF17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EEE5BF3C-4FF3-4F72-BE94-5778350EB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9F932032-6BED-44AE-B2FA-22B4D017B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AF6BA82F-AAAE-4A75-B83E-39702FBC4F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36E5E87E-6F17-487C-BA15-D1C024217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E048F3FB-4963-454C-A1D7-3798243517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F51F5201-83E0-46B5-B2F2-BA85BAAAC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4C69E3AB-93B6-48A3-ADDC-0D5441491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F9FD81F9-B1D6-4CF5-B29D-517D46034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C2BF9CB2-F4CB-4566-B8E4-B25CE883D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6F740CBE-7C6D-4145-9024-6EDE6C39B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A129D943-D96F-431A-9B4E-108F3180A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28C4B591-1010-4243-BCC5-6D1B0D360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5F1CA5AE-FC17-4F55-BF83-8634905AC0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7593235C-4F56-4153-8231-9D61D5468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D20D0129-EE6C-4995-8927-3C69085F4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3E91A15E-56FC-47CE-867A-258116B89F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A9F39615-B3C8-4B38-B93A-C18BB3D7B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A942B86E-F10B-4E60-A362-1811D4E48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F2E5E971-CE0E-4C09-9A53-45FEC74B4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E808F907-91B6-4D7C-AA7B-102866A867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6D314071-926C-446E-A227-0CC2E12F1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BDBFF533-6E4E-4409-A41E-D2C0724DC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381C7905-3873-4643-AA17-33E30E7E2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3186F7C9-66E9-44A1-B0DB-233AA2A0A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CABBF17D-88AF-41FC-B59D-F5158486C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7EC78D49-B4D0-4902-B750-0BB76B508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C1B0A6DC-262E-4E88-AE0B-A698A8448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7E56BFC0-3C99-4AA2-8625-B7BD056C9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75A7C142-4419-416E-A650-E98A5E90A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AE63DA76-54CE-41C4-A971-1AE5D477B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8B6C7E7D-4ED1-4C31-B4BB-0783CB974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1932B81D-1E49-4480-BE74-AB3BD3045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F456903C-DBC1-4196-B520-23EC77CC2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431BC84A-2E98-4F7D-AE48-093393172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054A6E21-F507-4E7B-9D0E-ABD17ABA3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FBCC41D8-C7A5-4656-A5E5-C8B5B7000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244D3ABB-D218-4D57-8125-BD8DB829C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C67E063E-1EA9-4EFC-A13F-2AA9313CA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FC0D96B1-565B-48C6-8509-CB3AFA259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2CFA857D-762A-4677-A925-799BD41BE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96D94529-FC3F-49C6-A496-B9F1462A2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AE23251-7DB1-4782-A826-A4D472F73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0D1A9569-86C1-469B-85D5-BFAC5B3CA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7DBD79DE-65E5-451F-951C-8A63F1E6B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8EC6F45F-8AB8-4ADF-88E5-C775622F1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F8637CA5-E550-4FEE-8F94-289557776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DC31D72A-DAB6-4D06-9DB2-4F8D2AB11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4484CC33-3A58-4393-B065-F0C277BBD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9B04CF61-20AE-488D-9319-692635DD3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50EB436D-AEC6-4766-B99C-3C29260A2C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4591BDAF-1D5E-4EE3-91FD-477F63C61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A35895A9-6636-434D-AF68-C719D3ED98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C7B49120-4E8E-46B8-A2E8-5E7FA02EB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FA99CBF8-7456-44ED-948A-4AAFFB3D96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F2C8D03B-E5FC-470E-9961-E587C749D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D1D7E229-67E4-4FA5-B5C8-244BF2740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62AB3CEC-895F-470B-9547-65EFB75E8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DCC83FBB-2998-4982-9610-68CE91E2C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8AD82524-B2CC-4B95-8597-7C3FC0139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F05D1918-F31A-4CEF-B7B3-79E89DACE1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B96BF091-AEE1-48DB-865D-36B9975BE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DA65A24B-E2AA-4C0A-8AC0-69F36E07A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C6C20F32-2499-47FE-9959-C28615AFB7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3B8E5172-9F5C-4A6F-8C00-F16CF9E05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DE85A2FB-5277-4E6F-AB9A-2EFEB4581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219E808A-4355-4AE3-BE4A-DB8B2C071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486B7960-58DD-4DDD-B941-751D1B94F0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CB08BEF3-84E6-4202-8D09-8BD106169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6B720665-8F72-470F-80F5-9EB675EDE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5B36A580-3069-4F4D-9DA2-F712FA932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3130238A-1AD2-4317-99EB-254EDA1B3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67A137D5-A22E-44BB-872A-9CE3A2AC1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FD5658CA-1895-450E-B399-7B1EFEECF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97E56807-B8DD-4CAD-881C-3CB495F159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5FAB0991-5B17-4B81-A824-D87751CD4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173E9C72-5B2A-4E27-988B-0AC888ECD6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10FFCE4C-B6E8-4B74-986D-12CEE4112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FF4643B4-A071-4FE1-A8C1-22DFDE232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0099E413-6531-41D4-9073-8A1886BBCF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C2486748-3C30-45E5-BE2E-459347AA4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337D2BC4-9E14-4D28-9660-851D5A6E7F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5BBA2EE9-D820-4997-8864-3021E8DBB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2B1B5D77-5DAD-4C5E-8733-95E4AA6AE7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3A2D30C4-FEDC-45F2-BF81-BD67BCAB1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686A84C3-675E-4649-98D3-22D3D48B2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170789A8-A30F-4290-BA4D-732FA1E8B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DA73740E-3769-4B90-9A75-67BD3DDE8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5E4967CF-0704-4C23-BE6B-90D2D4EA7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47935F18-CB3A-4EFE-8A81-BF874CC7A3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23C61FDC-E6FE-4FC1-B488-418BDC915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5C67FE24-1CDB-4ADC-9B70-1117E918D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1AA91A51-F51D-4D54-82F5-861C375B75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9FF6AD11-6A07-46BC-B654-BA1313555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8B3C8623-6632-4ACD-A408-B9277A8B1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D18D5BD0-0C26-4A82-A307-5B1A7A1AE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14ABA14B-B950-4934-B807-E5A11EFE19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7CE43DB5-4194-4FD8-9509-655A7E7B4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34E12E9F-0DED-4F24-B500-105A6CB16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C4B188B8-6AEB-4755-977A-C3166587A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6D52CCFF-63EE-4F60-93AF-93C7ADCE3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EBE0E0A3-ADF4-4F01-9F60-67CAD04CD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23656B3E-6742-4DCF-BC19-26C1219D4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38499CD4-D6A7-462B-B66F-D6E6FC78B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2A0EC168-0178-4503-9DF4-FF19D1771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44B9ECED-5BAC-47EB-ADA8-B33CFA9E5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56E10F07-3F89-46B7-9016-E34A2CF89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B7CD4A36-3DF4-4F2C-ADEE-63E5AA868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31EF3D17-31E5-4D2E-BBD2-019A6C497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AE74E067-D0C2-43AF-9631-3C1395CA2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47D9DA98-B07E-435E-A061-369747E99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BA67B812-FB83-4D69-844F-943338ACC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A85A19C3-6C73-41E1-8411-7D2FA52BE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EF0AD69B-20B2-435B-9025-0811BB49E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0BE42197-7A0B-4BCF-9DEB-79F93FD87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574A1AA4-684E-4366-B97A-E11822B87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2A18E521-370C-489F-8E4F-0265174EC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666FCF88-570B-4246-AD9F-54DE33BFC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84802B7B-9882-45D2-B4FF-98F71298B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36E1638E-4161-4FA9-9159-636982BCE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397165EC-EF3F-43A4-8F86-FEBB28F71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1C49C673-D4EB-467C-ACC8-A63B88201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26F8AFB5-BE04-42E3-BF29-BEB6CCC31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DCFC68A3-9195-453C-88D7-A5A1E6995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3C0D524C-8BD7-4B9D-A4A4-BE122E4EE3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6EE2F616-B411-4E5E-BBDA-435D49199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0F0A6A2C-ECBA-4D2B-A98E-CF5767D8E6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32E08E6B-AA75-4742-BA06-F64DF241B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D3F80878-F466-45A5-9B27-7C84887583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7FB733E7-BDAB-4CAA-BC2A-AFD8ECB8C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E08BDC8D-31C8-44CC-9728-2944FD7BC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0BC011EA-76A3-4894-92C3-F7B86E178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607E005B-D3D6-4DDB-A308-0BB6EBADB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9601556C-55C6-401D-9C52-F6C2C273D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76BFE35F-68E7-4DF8-A065-04E17DF2F8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6AA2229A-F574-4537-B315-A259AD62C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7446788E-92AA-4FBC-B1FA-56BBB9C28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F0EE8099-1408-4CAB-96E7-B600D49EFF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BFC11E5E-5B68-4CA0-BF54-00141A150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E4D5B24E-A074-4424-96E2-5FDF92A7E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C1267BCC-FDB2-41DF-9546-53FBA2234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A9DE429F-01DB-4CCC-8F4C-1F8AAEA203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65759AD1-EFCA-48D0-B9CA-595056087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5BAB57BB-25EB-4130-AF8C-FB301EDE4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B57366A7-784D-4D29-BA7B-3557F9F15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82660516-8C46-4C5A-86B6-06CF7B417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0E2BA6E3-F23C-48AD-A7C2-46D81FBB0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4ACCD79A-0F47-47B3-A571-0FD9A09F0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DA409816-55A3-4A52-BF88-8BD4424DD7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66AA730C-1338-4345-B044-9FBB14D14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4E2A51B6-13ED-4492-A7EB-5584627CF7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B7B6BD94-D7AE-4EDE-A13E-2A24D75A1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54D5D11F-E46E-4E62-9E35-7C40A78ED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55BF9F46-BCDC-4333-AC01-81CBB9AD6D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89C510C7-715D-495E-99AA-B2E9DED8B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6552AA12-8DCE-4C0B-81BA-EEDEC92821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F68C8919-2A01-438B-B449-E153D109E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15EADF66-CDC2-4957-BBD1-7B83AFC1B1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F1E5573A-0DDE-4B4B-8B62-10D0932F2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DDAD1533-10F2-49C9-9181-3CC7F2C9F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3324AAB9-12F9-4FC4-B70C-1A9CD88D2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D60DC0CC-7498-43AE-8D69-2F8FC1254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9B5B02B8-234A-41EA-909F-8997E3E11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4B3EFF7A-DB3F-45A6-B8FD-215220A8AB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A8E3512D-06D9-49C4-8F46-9C4D9EB9C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9C9298B8-16B1-47DA-B63F-3EEB20E3F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D3A5A284-85FD-4DE8-8D6C-73ED8E7608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ED822EC5-FB88-4967-A264-6506250CB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41C53A07-3F0B-4B4C-97D5-72AAC655C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91BEF21B-D880-4D34-B43F-93F82D805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726FB4EE-56E9-4542-9F28-9BE53DA5B6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F50020B5-CED5-42F8-943D-03A8B5AF2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DEACA897-1D74-4452-866C-451A7328D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BDE1B79B-3A6A-4F03-9949-D01D9E989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5F686136-25F8-4BB8-921E-4BB83E858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FE598F0C-0AA9-4C87-BF61-9AA1BE953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56ECAB23-35C2-4BFE-9013-6853FF90F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F6D2FD0C-B00D-43F9-A535-D344395E6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C8AE49B6-F33C-44F0-8547-C128A92CE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B8FF42A1-A113-4BB1-A9BE-744B631C9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8EC3E31D-35FF-4472-A209-74948066F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BB1E29F2-CDF2-4676-BBB0-565510ADB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95EEB35F-F78D-4082-92C0-15FAD7C90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BEABFD45-16F7-4AC7-98DE-18CD00789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DA42857B-E6DA-433C-8CE3-0A9C3E7CF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BA9050B5-AFEF-4515-900B-0C0C975AD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4C390202-EA8B-498A-B81C-2640DEAC8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70C6C329-EF33-4402-BC84-31F425488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45668F9D-3436-4DEE-9516-F6DD82FE7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F3F9E6DE-F503-4ACF-8B8C-1450D2445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1073A2D3-A8F9-4DF0-95AE-EA677FA4A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87B6CA81-894D-4A8E-AC08-6842E985F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63639EA7-3DE9-4EAD-8E98-E5899FC1E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987959BF-95BC-4C7E-BCF4-AADCB6180B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5367143B-B8D3-4324-B9EC-6AE95423F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1504BA31-6B3D-4251-BD5E-84C9DB2852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F9B3368C-3C86-4D4B-BFFD-7BAC774FD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D7EDE852-F3CE-4E73-9D4A-4E5D0C648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8C2DC76B-C550-45E7-8BEA-40751AB4C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443C15D0-51B7-444C-BAFA-ACCA836A5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4BA73FB6-14B5-4237-BAAF-A6C49BB7F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1194106F-C4F5-442A-ACEF-62C6D7503D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19BA2929-8700-4121-9923-E64966695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6B2B8FD4-76E3-4A23-8EC1-B1D4B92BD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86F6D0EB-1065-4F69-B8ED-749D4FAB18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6ADD3EC1-5999-4CE2-B57B-6BFFB8EB0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0DE5F2BA-9964-414E-B489-FA0AFAEA5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9A74E6F8-C783-42CB-9F19-21470DCB3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BC5AC1D9-2C72-42A2-87BE-DDEF927FDF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4ADF5987-585A-4D1A-BE0E-8208366BF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F6F81788-3306-424A-9E54-350767314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34A0EACD-E74F-4DB6-80FF-5C745DFD5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8645EA1A-F21A-4F58-B448-CC37D8BE1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6C99DB6B-8812-40FA-8659-74A58FDE7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448BE00A-0261-4FF5-886E-067E11D17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8CE22D79-4027-4285-A65D-0E04D8C9E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CA519581-CF0F-46A3-BA7D-E482C1F76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8F0A7C87-D125-47EF-98CD-F7D924C5A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7F65CD38-8898-4FF8-A9A5-59D382A88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1996F83A-961F-4992-BA69-68827459D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81D7C0FA-A784-43F3-9342-C4AADB372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91ABBB81-9011-46BA-92FF-FE515707C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3521E423-D6B5-4E67-95F4-F67AAFF4B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6AC3380F-A3F9-49A2-A787-1EF9239F3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72365A40-9220-4993-8C7E-F1BE85F56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598B1EA7-7EBC-4BCF-9E8E-2A44EE51B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1D5F2EA8-BC29-4BD6-BE39-9A5CEFE3C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322F36A5-3558-41EA-9872-A2D4E3FBA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90F377AB-4D81-4CB8-8170-8B947B149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2208C84D-20EA-4006-825F-48A5D08B8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C97EDAFC-DD50-4506-B1D9-6C192220C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7205C9E2-88D9-447E-B778-FC9CE221F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9F2E6888-1B62-423C-9A00-9801A26A2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745FEFF8-87A1-4EDD-BD3A-449EE0180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AE488BFF-C7C0-4040-92F5-83C1C85AEA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04B95B3C-1A9B-4147-8F2A-537BFA78C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54EDEF29-9017-43EA-B68E-4195CF05CC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93466CBB-8CE9-47D4-B72E-13DB1A632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3784012F-22C0-4CD8-8ACE-7DC2C901E0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59FA0A97-F11B-41CE-9B6B-9C40F5BF2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9EE1D71C-AD85-4481-BB48-9DFC6D077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F070EC63-8068-4072-9F95-37CBCF018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7B88F4ED-1200-485B-A04D-FDDCB00B0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DA295F1A-4454-45CC-9343-DD0DF2E02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B6D875FD-E178-4851-83D0-FCB4B433DB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666E63F1-2BB4-4A13-8A18-92925D3A4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6A557A57-AA6A-4FA4-906E-6DB4DBEE0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2BB62E4F-2B67-4DDD-B800-5AA573910B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581CF35E-A545-4BBA-A432-AF9FBEAB5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0F1D72DF-3A09-4FC0-B012-1A3131074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C8807A1D-A71F-4DFE-B871-8FE97E8AE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97B82814-C0F0-4EE1-B656-59ED28C0B3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19232C96-2058-4190-9A31-7CC49AE8B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16C91BBE-6906-42EF-90A7-F82489956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B5B51DC2-0303-4801-A634-3F4ED8ABF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BC4860D4-9CCF-434A-B62B-3B8703A05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54B4E211-7125-4E5E-8AE6-3A6907D13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1E9D8985-201A-4DB7-BE2F-B8D434840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FDE96CCC-E0BE-436A-A123-DAF63A4A1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5D53FADB-FCEE-4FD4-8D1B-02BAB6639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325698C6-BA8A-4E19-B84A-543628779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CE71273D-9263-49DB-8841-B61B0649B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5A6F4082-073D-401B-9977-C8E69A74A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768A1417-F561-42FA-8CEC-FEB7FF9A3A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8DAFB4AD-1390-4CC2-9F15-90D9E9E11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365EA26B-610B-4DC0-A34C-F44BD486BE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FAD83321-3959-435A-8F07-CE40D2D46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0C954AD8-06DD-4831-B8F3-09208EADA1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41F1E798-481A-4BE0-97C1-F3AF0A637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62175897-CB3F-4864-BE74-18A96CDFC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34887114-7B25-49E7-8E7B-64AFA6E3C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86366431-9C21-4B27-AE2D-46D6E375C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9F5C61BF-C4D1-41BA-B34E-A09FB97E1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4358B92A-22C0-4F21-8552-B9048FA0BC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09B5CCF8-EEB6-4349-8646-38EB59891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13B93533-D486-4FAB-9953-22A960714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5D0136B3-DF9E-4670-8D7E-6107301679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C1028336-90B4-41FC-8A30-33C0AF17A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6F1529BD-9979-4F55-A173-C6141AFE1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2FF2D794-4B24-4BAF-AD9B-88F804690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6261CF59-474A-4530-B482-0930F24ACF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428189CB-F3D0-4E8D-B3A0-762FBA117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73E7F2B0-3C41-497D-BEA6-A28C9D345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43D63184-B292-4CBA-9D82-7ADE6FAF4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405CF4D6-69F2-4445-B4B2-444B11D1D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E7DDD1F4-F795-4BE3-AC28-32CCDA71E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646AF238-E916-4310-8C58-ECD4174E4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58A381DF-94AC-494D-8A53-474627EBA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691FA693-186A-4656-81D2-B23DE8472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78353D3F-62D1-407A-B122-8F0B17610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B15F2FF9-A3CB-443E-9B01-A06AB28A2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CE0FC22B-F604-4AF9-BEDC-F9500AAA9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EFFF7E47-38BA-4E1A-9A22-1B91D6EA4F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1B2ECF99-5A3E-44AF-A930-705A060FC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8B9E068E-463C-4711-B111-836FEDA50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189FCEEE-4F00-4BCF-89A7-A478C55CA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BD0921CA-D169-4AC1-812B-C142B5048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60231F7E-08AB-4908-8B5A-E11242C36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28806D19-8B0E-48D6-A331-80601ED04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A0FC2B6E-D8C7-4B99-AC4D-DDD583AFE7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047B6BF4-A010-4B3E-B65B-E2E292FFA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4A23D08D-ED4C-4638-B1D8-438F59742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D7A702E4-7CC0-4256-A332-1D781A22F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2879FA4C-F644-4768-BDC0-00B573A620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AF805B71-DEC0-4E85-A755-AC8E760CA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61F7A01A-F012-478F-8104-63A06165E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65C27734-F003-4453-AF7E-A1B4CA4F4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695D18AD-0471-41B8-B0F8-1773B1864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B07BE15C-E5C8-49F3-89CF-70763569B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67EABD6D-D86E-44A6-8FE7-4F6884118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63369DA5-965F-4A96-B3F6-3517C8A08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7A10C5C3-CEDB-457B-932F-B08719B1A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2D1CC3D1-640A-481A-A05A-00ECAE2FC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91648C3A-1217-4C6C-BB6A-5E7CE3C848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A08ABB4F-A5DA-4FF6-A9EE-0142F3A04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BA9A3043-17D8-4FDB-AA1F-7EA578AF3F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39C07100-D8CB-451E-B952-B6648F4DF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F679BFD3-74E3-441F-A700-4DB0ACB2DA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E96BD7C0-0497-412D-8565-B3907F96C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9119E269-4E23-4B83-B720-AA1857F11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7413B987-D318-49F1-9DB0-99F8DABAB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8E8494A9-2A0C-4BDD-AE4C-B05701642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9371850D-CB05-4132-873A-216F97055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5DDA021C-8AD1-4FC5-BC90-2658B762E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8BC97DB6-7A03-48A7-8008-EF30DFCB3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DDBB6060-9B9D-4789-8300-43DA8C612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0303774C-3C39-4118-9688-B4D2D93A3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E92C6EDF-520B-4D3E-A104-7B9F160C4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B99B271C-1C54-48BB-8CD6-EAECC78B0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2D681D49-6555-4A1C-8CC8-A290B755B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24D56481-D3D0-4F5E-B2E4-D61992366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19194C42-B023-4D36-8866-39A0617A1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416463E5-3D8D-437C-8D13-B36B476889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52B86740-F33F-470F-8D36-136024949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3393B50C-DD67-4B6F-860C-ED459DB52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EC9A94B7-4E7C-4F3E-80B3-27B010554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6FB79191-E1FE-4708-8B38-7DB052A82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1452EA8A-1F02-4C33-A969-BE5C59377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D3C0562B-E592-4F34-A3B9-50AE292E1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6F6FB9E2-A06E-4550-92F4-1CEB51206A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2339AEA2-45AB-4DDA-8858-86EAA0D59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4132BD2E-73B3-4B84-97CF-34D62A316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D3CADA00-05E8-486E-B50D-6440C6D43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FB80D559-C561-4E25-A0C0-01C82F41E0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57191DFA-6663-407F-AFDB-D4F0A53E7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44472F0A-B07F-4DB5-BF16-4E7C55796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15583D69-F5C0-4219-83D3-04AD0EFF4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0AF3FD84-277D-4363-8AEB-AFA1791A3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6A853FF1-4192-4C21-ACE7-4B5E1F356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AA5B36ED-CC96-466F-AEC2-ECE8D0B60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F05D3440-AEA9-45E0-B3C4-6708A8874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38593FF9-F04E-4E2A-811A-CE522ACA4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4F6A7083-B7AD-429C-A61C-27D38976F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E4C640B7-D331-43B9-A161-8A4E75C8A4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D7546B6C-5AB4-4301-9476-453B0B81D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FACCCD06-D3D1-402D-9B42-6C9674F9C5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B080A9AC-2D84-4030-B21B-E630D4A61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E868681C-3CFB-4CA2-80FF-774D3CFD8A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909000EA-4198-4115-B4D0-3CD70F435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B50BDB4C-EF1A-4B5F-BADB-E647C1405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E65FF6A6-D26B-494C-B6B3-9573ED559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38B1CC36-95B2-4EB8-AC6D-D70E69497B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B499A609-B482-43F9-8956-B58EB0F2C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E338E07D-3AEC-43F4-A084-49A78A1FD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0F8F1171-6589-4EB7-BA19-787449290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CD5458C9-930B-4B60-A16D-A435DAC98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F0B64CE7-4647-4023-A218-8DD7972DA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2BCFC580-80EB-4A58-81AB-B34F91AF7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A1E6B28C-F03F-4A41-822A-54B1189E5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3D564B8F-C432-4544-AB58-CD4715954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299C99C3-569B-47F3-9D5B-F246C8EE9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341A64D7-1660-4755-889B-FE84892D8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7789CC01-90D5-4721-A601-227F08064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01AC1F2E-E352-4B97-B2B9-D387DDB72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185CDB5D-06B3-4656-92B8-0C51F2C643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2FD2CCD0-F7F6-4C11-8B0C-9A33C4CAA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7D68AEFC-DB24-4EE1-87B1-F1234D6FE9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1143A26D-5FAD-4831-BD1E-FA09CF550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BCA7FF23-03EB-4597-84C2-59650FA33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F8BA663F-CE31-4130-A34A-0164BE42A6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DC5B77CF-ABE7-4335-BC9B-E6482EE73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7192DD09-5B06-48CC-A344-BFC0EEBC8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8A5C9CBC-F3F9-45EF-8446-9FD4F4F257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30FCCF95-FEFD-4597-920F-8075AF5CC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3AB65A9A-4875-4A55-98B7-62B67686D7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5C5511CB-4E8C-4877-A982-E3D8DE655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CCA3E4A4-61CF-4ED6-9798-F3DD172F3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8759C7EB-E35D-43ED-A5FB-6DF122344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9958B0C9-2727-4EA9-82F3-47CF5D7D7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4212C626-CCF8-4261-82AC-54122E842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8CED1A2E-8422-4228-866E-8BC34557E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6C01E5CB-7048-4E1B-87E8-C4658800C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23DECDDA-80B9-45AB-9944-337866E053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950D5E82-380E-4F8F-B7CC-2A8018609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84C92799-8E2C-4717-9E72-07CAD35C8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1B212A4F-0F81-4BDE-9E87-5BF62817C4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2922934D-A8A2-4033-9DB7-BA1AFB880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14AA88E5-E078-4C28-8822-F7C2D7123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336EA34C-5384-4944-B05A-990CD6B8E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3541CD9B-CA85-493E-ADC3-F63ACA0E8A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FB211FF2-B165-4C0F-B814-0FA128325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9B239DB3-D822-4EEB-838C-A7173AFF6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B29298C6-76DC-4F96-B6F4-B90A07B8A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1565636C-FFA2-4BE5-955A-C9307EA25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E557E7CA-7E20-4FA4-A027-AE530F6A5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14165CBD-74DF-4F57-A13A-FB4ED171E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F3920183-09E3-44A3-94CE-E7B0767D2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79E98F9A-B208-4104-8D37-072BD90AE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F9A53C99-4A62-4162-827E-262E347FA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26484F8E-2263-4C20-82B0-559BFF0CFE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DF5A4963-8B02-4BEA-B2C7-432369E3F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FB5FB665-CFAC-42DB-981F-A451D4218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F578567A-B256-437A-89A9-9AC9BAE91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01A7110C-BEAF-45FD-B784-4ADBC91562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6FE0F63D-E95F-4909-9DCD-E02844171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F250230A-EB7A-47A1-8CEF-F183D2647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62908364-CD7A-47DE-B53B-E37F8E648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E9291434-0E1D-4F29-8A35-7DEC1BEDE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FF93BB43-0830-45A8-86E2-7C1F79B64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D54410BB-B310-4102-B4A4-01E239633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AAEA5FBC-F660-44C4-B0B8-80FA0951F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95917A7C-2853-4229-B18E-7AF407E7A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624EFCA0-D124-4844-89E4-FA9DC6AF8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E6196CEF-15CC-4565-9882-D121AC522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B97E2F13-8FB6-4D37-899C-B4160DEDF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DD7B64C7-AA01-4805-B326-30E8FF4E0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164C7A43-3898-444E-A177-0424405CD5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6E32100D-6C88-44AA-8030-B9ED6FC62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8C6E2A6D-6E38-4764-8B3E-B180ED7E8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46E6B8F9-70DE-4FA0-BE22-BB2D87101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5C3C0610-58C6-4885-A2F1-F5B097462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F5F88D21-2A8F-4BD8-95DA-412DED209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BC164F87-9E9D-4061-8B9D-E29836AA4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628B956B-900E-4432-9289-DDF745C372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77FC8460-B32B-4411-8953-BF23D8BD8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87CD72D2-160D-4763-ADDD-468108BE8F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EFD30DF1-5B00-4A9D-98FA-A5B73439F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A50C17D5-D626-4292-BBB3-8DA3A08B78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50E61C18-8581-4349-8378-96BA89F21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4A4B17E1-1197-41F4-82B8-87040837E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6E64F28B-0DF3-45C4-A042-F0CB68A85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A694504A-E19A-4476-BFAB-F4DA158FF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5268BEC9-6FCC-4F32-B12F-2DBF694C4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45AA7BEB-99FF-4C2B-B4D4-FA2D8E5372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C9CB5BEA-19F0-4453-A920-FB72CDCB1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AE6000F5-8F94-4395-923D-DD08E21B5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9F00DE55-F779-4003-A4D2-B8362253CD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C68BABB4-CA3F-4EB9-BA9A-B841CEB53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93FB9A79-C40B-4ADC-8040-2B6420967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4C60F11A-CB3C-413C-9E2A-24E69BBD1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623F3FDA-B7AD-4E0C-BFB6-4C86021970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76A25006-DB8F-49C8-BCC1-7E7BBBE3C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AD2DFCF1-2918-4EB5-9205-9810F73C9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E2FE37DF-7463-4EB5-AEEE-281D9D21E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B6087EF9-C6AC-4796-88C0-67FD3D402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156F5A98-6B2A-4E0E-897D-F0E362BE2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9DBF4DDD-42A9-4F0D-9574-537897B45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0D6E29FB-DEC8-41E9-8E30-B36183213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63C57EA7-2957-4A13-9357-DB38B6014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F3D45E24-EFDD-42E4-B298-4EE2F195E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7E6D721D-58DB-42B9-8E58-F80FD0C3B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D79BA391-0B46-4E0E-93F2-615E20BA4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C70B03C4-F0F2-42AE-8BF0-035F9A3010E5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5E8EF84B-20BF-43A5-8F28-401306F72D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A31F535B-C87B-486C-BA1A-E69F22C4E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80EC5139-F81C-4E67-8D6F-2B32B823D7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FFCE717A-AE74-45CC-8261-04B87BB9E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9AD36192-C3CF-4A65-9945-90BA63FD5F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65172A3E-D809-432D-A5AB-A9FF79DF5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1C90B3AF-6C48-42F1-A682-7304686986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C0DD8B03-D0D6-43C1-9722-5F335C5D6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15C99B12-49F3-4DBA-8912-D58B35F92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49E3E4D0-6E49-40C2-824D-912C172A7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11C64CE2-D923-461C-96B3-A080D2411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2C0DF64D-5CEB-4408-A2FA-AE3C3DB41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3FFAB86A-FA6A-4335-9CE5-3E10E24332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F7920268-DE8D-4F43-9955-4C14B70CC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A0EC17E3-A543-48DF-9ABE-E9623682B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785F7551-274A-46B7-B244-993302BA4C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A6CF2AC0-BEAF-47DB-96B9-21ACDC38B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7855EAD4-DC49-47D6-95DC-597A85BB6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4412E437-4D0F-4A91-AE1B-BE119FC1E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BE1D10A6-1729-4449-B046-23A81103F4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C9AF922C-D22D-4448-87E9-F6F0207CC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6D8A4E2E-BB6B-411C-95AA-328BF8057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727A8ECC-CED2-4DFF-ABFA-E77AEC960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B9FE5570-2581-4F7F-96D3-605504DFA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63869C23-A3AA-44C5-B5A6-27142238B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765B3D97-263E-40D6-8116-6F6B1407B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C374BAB0-E45D-4E88-867B-2B68151E9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1ACC87E9-7CBD-4400-8E0C-A17585F31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0063D6E0-9BF7-43FB-9056-4173CB517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334DADB2-60E5-4053-8056-ACDE4A033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2357EF10-D5BF-4F34-8B28-6658AAF8D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0D2C3E06-3757-41E3-BBA5-8759580EB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5A3F82AE-34B0-4904-9B37-DBCFC7EF9D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6133A5BA-2D90-48F3-9E35-89AF3D57B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9EB3D691-214A-470B-9754-EAD6AEE0A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3C608199-3BD2-4895-B46C-75DA5B62EA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B60B75F3-ED87-4801-A10B-552E977C8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5296EF6E-F097-4DE3-B5E6-7A8B9E2517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31EFD815-4523-4143-867D-C116760CC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ECF20F61-3122-489A-B8F7-972620CB57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12980E35-132A-4581-AA8D-2FC6C5830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0651B815-040E-4B33-AAD0-4ADE15CCA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1EBA8AF1-4E35-4A38-A493-6C3D79679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5BA9AFA1-847C-490D-AD5D-0913B2548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FAA4E26F-C7C8-46D4-B03B-3B024EC7F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A0E44D5C-E256-4522-9144-DE05F2917D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975618EC-EF9D-43E1-A7FB-A54C18B74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38A85136-EE9F-472A-9353-1334B7AEC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797BE09E-7122-4DC7-838B-1A4EE2103F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ED953D1B-7149-4E9B-B1CB-4B6A1F9F0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79BB95BF-AF73-40AD-ACFE-E38D1A571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9FF1F18D-CD4B-4FFD-BEED-12C0BE60C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8EC3B7DE-0170-4777-B569-2C86D1ED6A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7ED003F2-DDFF-4EB2-893F-3FC151F92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0F883EE0-9EB7-4246-B0F2-E82D3411E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28DD60BC-4903-4C62-83B6-E70A63826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67DE293E-BC8F-451F-945F-95B7FE145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968AC70B-8143-42C9-A252-9777E05DD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213ED0F2-2AAA-4734-B465-35C664F88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3DEB1513-63E3-4556-A4E6-B92EA7CB5B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DB9A419C-E61A-40AE-9868-BDF0055B3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A5E6FC86-7C83-4ECA-93B2-83732D9C4B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27E6BC3D-95A3-40B5-B975-F9837659F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390A8C5E-900F-47A0-B756-682D64D931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0F38799F-190D-4556-B752-6EF436C60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789EE7F1-E862-4635-943F-03B70D9E4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EC2358F7-D08A-4796-AAEB-B8C2CDE9E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004E873E-B468-4E1C-B12E-31B36F70B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5E6450BB-89AB-42B8-A381-06653AF28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EBD17C71-7FEC-4321-A9E5-98E84F2E16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6AFF37C1-8C45-4A69-B812-AE47707F6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1BC2BCBF-9572-484A-9A0C-A2177E9FC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23461F63-EA2C-41FF-9A80-6801010FBB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715C509B-554F-49FC-99ED-25216B240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41D69F21-9669-4C96-99B1-E8EB6DEBB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98A68D31-A883-46B4-BA50-691794D41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5E6F0E0C-5F53-47F9-9377-A27BEEC3B7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1239420D-F252-4C19-823B-0E16EDC15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CF7CD2D1-943F-4868-9669-370315365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95AE55B7-4592-49E8-8F55-4A7693595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37D95C64-01AA-4CD9-AE40-90458BE95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5AA2776A-E45C-4F88-B1B8-218B1370C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EEADC91A-E515-4A37-A73D-B4CB13AD4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1B988445-A5AE-4826-9D01-043E0EB62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EC71AF3B-6795-4A11-BD47-4CBFC4AFE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A9C1012C-57C1-4E09-997D-4C4D483E8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EA8A77F7-B31A-47B2-BAF7-2C94D1D5A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7E07D3A0-C3A0-4E7B-9887-DDE4194EE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918308F8-64F9-4219-9252-0907E921B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50F59CB3-D778-48CA-8CEB-82F05F34B1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FDBC8D13-5FA1-4BD1-8799-588AAEE74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1FC72D7C-0D94-404D-8702-CBE8138F6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EBDA9539-F3D2-479E-99DC-CC2807A35C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F624140C-E142-4E4B-A3E4-58B24326E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8BD7BD04-4865-41D0-B203-CCC565448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582EFDA2-F70A-45D5-92C6-2BEB56C90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8C0E0B67-FF54-4A2C-B61D-F290AFAAA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A56FDA37-344E-4505-A4A2-18B4BE53C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B55B6D49-F2F5-4085-A5B2-9E2894F0FC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1FD94BD0-29E0-49FE-9E75-1CBE29279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23A9C048-DBE2-49C5-9F02-42E9ECCAF5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3B9444D9-AA3E-4D3D-9AD3-0432ABED1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A7B5D3C8-CEBC-4E70-B290-73B8F5681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949A24D2-9290-48AE-A084-6CECF78B4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CCCA9E46-2EBB-4B41-A133-BDA4FA08B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297B52D2-3112-426C-93DC-D8F998804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011884AE-1A70-4449-B51C-803E4DF30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00F8AD3C-D503-4C9E-A891-7F3E2500F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B3341479-6CB1-4E3B-B211-699FEE73F0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7B655724-4D68-49FE-8920-2C55E2FDA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8833F521-78E1-4CB4-8A1C-964695DC0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5D5D8B87-C25F-4A98-84F8-2B1290BB27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D864EBEC-8B54-4008-8A90-FDE80FE3A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DB0329C6-551A-41EE-9B55-3AE99D1A5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5D3050EF-70E5-4AFD-8848-47590DB81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D5A9419F-8944-40FA-84B3-C824335368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591E3779-98DC-45EC-A099-F9D34F645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4A4A4F36-8194-4B33-9C75-DCA56AA4D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F0218B48-E4C3-4F03-A16C-4EA94A345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A5565C08-41D8-4833-92F6-E36570EA7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7983C543-0E83-4F16-99EE-7FFE5E38F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E59576B8-FC15-454E-B492-3D425879D3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B267123F-CFF6-479C-BC5B-1BD9CF88C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DD474B6F-964D-440C-A46D-93B5471E03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AD654E85-5AEC-43B2-87BC-C93C06276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23CFD084-B451-41EE-BD60-A4A139E45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D8B3CBF8-E6E2-428A-8BBB-A06B06531C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8DA35ADF-A60C-4424-B818-1A05DF610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E9DE0ADF-DF28-46B0-ADC0-A8BF11DF3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BB1CC915-9423-4461-97AC-C3319AE28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E15E2D9C-CCED-4939-82F7-E9E842F24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801F06B8-AE29-4FB0-AE9F-C9077A37A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CDEAEB9A-3847-4CCE-A7D4-1F2A1EBBD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9E64966B-8971-4870-BDCF-66739C02E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1C1B1D13-8C30-428F-A536-C272587B9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91E190F8-49B5-4B3D-95EB-C830BE201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C16D52E6-90B8-4F61-9B54-CD87346A2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CA6A1694-9152-4B56-94A8-D5C09D465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3D093C32-3542-42DD-9941-D6546E0A4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ADAB2DB3-3236-452C-8793-0F2F31D82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9E551FDF-2F20-42F0-A062-BDBE85641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BA509797-A6F3-4FE9-9921-1E0076F87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6192F682-0914-4DC1-B63B-58BA2FF39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D9DECC89-CE06-4B04-8575-E97E54B28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1E727270-B238-4259-A4DD-98A48FFBF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94238EF0-CF46-4CFA-9E6F-38F686D18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3DC4DC29-1C71-42CB-85C4-03C740899F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705EB74B-C4E4-4501-9173-1B502C9CD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D0D3E57F-C684-4935-B351-999123E963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1142A03E-80AE-4C9A-9782-CDAEE4E80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A10E77B3-D3B1-4A2D-9F5D-7E5F9E9B72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A6834930-2C46-4E9E-B746-45AC131E8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D2F0A315-6862-4F56-86CD-C73AAF0E6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B026173B-D523-4BA2-8C5C-185ADA42A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8927F17C-8BDB-474F-98F3-B3FC509DD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B0A91271-EDBA-4E9D-BC2D-68809D108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A438B920-344B-4A7C-9A0F-3FEF8D528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ABD33A80-A486-4301-A75C-F191DC690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1F1CBB50-51A4-4C9B-A07D-EA608202C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CE6279E9-3601-46FE-8BF3-7CD025CE82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38609E0A-9561-4AF0-A06F-EF491F0BA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909F7762-CDA5-4751-996B-3143E5E80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28CC0269-A670-4CA3-963C-2BC561A58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69EC2C77-5DF3-48AF-9784-7571998D26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6A452E69-BE56-4F13-80A7-939AB645E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B5ED1799-660D-4E0D-9DCD-552408B26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F6606D3B-52BF-4DA9-BA85-CBC96BBDD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0729F649-3F7C-4E66-B029-61AECCF12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4453561C-FC06-4ADA-8419-FAE3BE3B6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93B3B44F-6048-4B43-9152-A6C6A1E73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5C3743D9-DCDF-4D87-976B-41D708F59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D8451E7B-AB40-4EE2-861E-96375743B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D57A881A-96ED-41F0-B5EA-18DFF067B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A2279EB7-7A63-4D2B-8811-1619F2CBC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8F9F4F00-538C-49DB-BD13-9CCDC6725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803DA15A-AF27-47F9-A5F8-8EF9CE0AE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712C54FB-67F6-48BE-B3F3-E99F4CD88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76C6610C-EFB5-4CDE-858A-089967BF8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62F0676A-D9C2-45CA-AE06-304E4FA71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C578D8DA-92D1-4C23-A579-C34A0F5BD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2134B791-0A6F-44BC-9535-A9DC2CDCD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8C336B4C-FC8A-4C85-AEF6-2BDF55475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7E765B5B-CAD7-4966-8049-7CD001225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12BCAD97-D12C-4B0B-B348-9460AE950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7AAC93EB-40C1-4397-8F40-15749AAE6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875DC03A-C288-4F9C-815A-A0096AC6D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BFBD6CA3-C97F-4E31-B36B-BD93C41CF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8CC6E192-EE8F-48D2-96D4-4CD4881C7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6AA7FFF6-742B-4C95-AE67-B1D70141A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CD1D9FF2-E194-4C57-8B51-1192177C94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2F619C6F-045B-4C40-9430-13AB8EE43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3B1BAABE-6B5D-4C5E-A041-577AF29EFF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FDB02908-1556-4A1B-8E49-2D3CEEE3D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167B131E-256F-4648-BBF7-9578B52C36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F405577C-8D3D-4B88-8DA7-A4E33BB29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B9BB5AE6-B5B2-4806-946A-2E2E91094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6E318C33-002B-4964-B9FF-0CFE55520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13DE8A9D-3C37-4160-9B24-E440679B6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605C09C2-5869-4446-AEE7-A2BDA0E27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A1028017-8792-4083-9630-20A35DBC69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8C45A178-726A-40D8-8C0D-F4925F2A8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EED98C65-714C-4B4B-A154-BEFCE6C51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C5B17FA8-B5CE-4715-BC39-5AFC08B2AD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57FC388A-9186-4BB4-8480-B9CF29E32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80C58E30-BEE9-42CF-844E-CD16194F4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D5D1BDD4-7FA3-4DED-8D55-6F540698A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EC082B78-62F0-4BB5-BB34-5C3C52621A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74B37605-1C17-4815-A840-213177734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A2850195-0047-4DE2-8049-9816826DE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621014B1-5535-48F5-B6F4-F0B3E72CA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343C951C-6E30-4A92-8AD5-78E9F0109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D6ECFED2-3E9A-43EC-BCE8-505BAACF3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F6AD6453-21FC-4EEE-BF57-5F7049589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BBEC223A-8BF3-4288-945A-9863BBC6F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8FFDE641-1BA4-4A77-AAA0-1B32EF9C4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8C0C8F18-D285-474B-A14B-CB0FCACE7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8AD4DA90-6838-411E-B4FF-6274188DD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CE1D2D72-BF56-4D3F-B6E9-875298132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98CA49FE-5064-4A9A-8B27-2CAC1B424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5B2F40CA-7FE2-4F6D-950C-7C63EC3F3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A9D15D96-6370-48F5-81DE-0C5BC382E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FB438043-44B1-40F7-B085-C888B48EE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DEDC9E9A-F515-4F00-8090-53B615379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98D51C47-5B65-4944-A2EF-173C40274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E438EF2D-8AF2-4740-AD94-B7C11068C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3DDE8009-3C15-4389-B730-4063FC2FA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385F7371-8C2B-4BEB-AD8F-91F97163B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FCB101F6-00E8-467B-91D8-33AEBC1C6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3F7C5906-0553-46AD-8508-8793A537D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889880B7-4609-4B0B-870E-232A1BAFA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CB14EE3D-1E72-4F22-8753-B43C00A92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19B19F9C-6A61-4329-AFCE-5CD454654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84342A54-4991-4E29-A1E2-D5DE26C1D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EF54574C-2980-47DD-B400-0953ADF8B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83DBEA29-DD4D-425C-9400-1BECC7416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5BA9DCD6-25E1-4A59-92DF-40CA92272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B6B44C1F-DB34-4435-95A7-DD4E87239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802BC6E1-7BC6-4388-A981-2BC141D88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B558ECF0-EED1-42E5-9702-3CEDFA2717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3F850C4C-4E7D-4B0F-8A03-E0AB8543B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55EE5E6D-9DD4-419B-A2DC-BB6993B531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DCDE6087-072D-400E-B434-7BDD50DAD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2C9599B9-8F2B-4E8E-8DA9-DAA4B5B559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F1617350-F0BD-47F0-95F9-C4780FE0A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3AF15A71-896A-4424-B306-05B3FEB57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5F24D825-471C-4776-BF2D-B44631B74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14A27677-408B-4C7B-8FB3-64C8D8759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C85C0928-ADB6-4AA3-A496-BD6FA9153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8E3C5BFB-5040-48E4-B6A5-7215D5A501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5776FF1A-BC81-4B4E-A07E-13EE8DD8D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59662247-A1FB-4748-9F5B-C0723AD62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AD61935F-E21F-435C-9F33-FB1BF88BF8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BA133F3A-D79E-4B72-933B-8665F8AD5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99BE96FB-F3C0-488D-9D11-1B732C4D9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0ADDCDE4-4DAD-4197-8D68-1581CFB44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D732FB33-40D4-4C56-AF69-3BF89254E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036D420B-ECFD-40D2-B730-4143CE698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DB3B5A47-A662-4650-B1C0-637596156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D1A649F9-4F03-415F-BCCF-D10351AC9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EDD1EE04-73EF-4552-AFB1-BDE1253A6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A492D762-F19F-4D8A-8BBA-8527AEA92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2DD9E7F4-AC2F-49D2-8B7F-645C3A173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1CA56B26-FB0E-4AF0-A503-E76881963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C1601F6B-1F15-4B71-9D55-4D631CF34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B366E620-E664-4ABB-9AAE-C52E1EDC9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65C42608-EC81-445E-9CF6-7F47E9356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ECC8DAD4-E5FF-4C1E-8468-99270F58F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3A035644-AD86-44CD-BD77-E1E8FE7569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386E48E8-5BA4-4D4C-9355-4FA1E3066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2CF1F17E-20E5-461D-9FD5-E3721035E9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3F9F5CF9-3A0F-4078-810C-343F40B81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66A300A6-B2E1-4C3B-B7AA-270102F7D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54D37748-2EEA-4C0B-BFF9-448264166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D4244B8B-55F7-48F1-9D2B-A842653D6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0F14F393-F6C2-4CDC-92D4-3790F19E9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F45566E3-A3DB-495A-B826-86B06299B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5230CEDD-2235-4D8E-82A6-935EA5792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9D89C6AA-1366-405E-8C88-BF1C60BE9D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B28B1617-3980-4752-8AF7-47A7D2721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A30CCA12-0351-42D0-8809-341E41150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3281EA69-0EF2-42EC-8610-F403D7ECDD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0F05B8A6-A2CD-4A39-A9EB-4A027048A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2BA62C4F-314C-40AC-8490-49DAC98AC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804E572E-E832-474C-A34B-2B1370125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32C99661-F952-4DC0-A8C8-1915A5802F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CA492B73-220E-4832-A6AD-DC8254F13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26A16180-6018-4E6D-8614-3464FDE8D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8C697B8A-E132-4835-A2BA-56729DB54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EC13BC98-EC4E-498A-9113-0A8283C74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ED88BDBF-5275-4D0F-B0A4-93C99B43E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D03F7EE6-C880-427F-BD09-5A719B57B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FF900EC1-409C-4BC7-86B4-AAD4EE68D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37DF6ADB-1726-4803-9C71-820A9FC97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5B98B446-B079-48D7-8338-D4EDD22BF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9FCCA5BE-7450-42B9-981C-41DCBA600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04B86EEE-48B2-4D22-92D6-A997564E4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2072E71D-557D-4820-8910-1230CA910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F3B58C12-0DF1-4241-BB59-DEE576BAF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8D84B499-29B5-4CC0-95AC-C77B781BE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6A75811B-055A-4022-9E1E-87834692E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C4858852-7B68-4F1B-8BC3-3C7A9F8B4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448C7083-0497-4176-9F80-C4674DB06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380538B5-9F35-4256-A6C9-C667058A1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298BA180-A2BC-4962-8CF6-D8432D039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784ABF38-61BD-4AB9-A026-D4AD1D5401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505CE8AD-7013-43F0-97A8-4E2EDC6A0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AD72E2AC-B943-421F-8412-57293D4786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B70800A2-7B8D-4E56-BDD4-6514E3428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53ACC66D-5B0C-4BD0-9B65-9854D6DFD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9915B5EB-3A9D-4AF7-83E2-4AA7E782FB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6FE67F67-8AD8-4916-A933-C253FD4F7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34A2F83A-C17F-4661-B6B9-6CEAF7BC7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B6379DB9-6B22-4EA3-BE73-E80B3C9D5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1E9FB144-2292-4580-914F-A1608D579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14C07F94-4523-42DF-B6D5-AD1647B56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AE90353B-4D5F-443D-95DA-B2F383D60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4E49B481-0290-4AF2-8BE4-6CDE0D688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DBBC4DCE-A753-4ADF-B81A-869972955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2959644B-3601-4C15-B715-EBCFE5F96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F12E8757-C131-4650-9436-6549E586A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FEE8FCEF-40E0-4A9B-A126-B72EF3053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31215893-01E2-4759-889C-DC405B91A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81C8EDFF-38A7-4738-A76C-E3F0FFBA0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4E95BA7A-1B71-4DCC-99B7-355AC160D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B48B3E43-1B1A-49E5-819E-88C60A8E1F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5A91A119-8D77-4B60-8AB9-729F9EAF3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43AE5AF1-814B-46F0-850B-8CD2588CC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A98FCFD1-2509-46A2-AACB-61F5C8E3D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B9393724-AA01-4948-8654-263BCB9B2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7722CFDE-11B1-402E-B53E-845907174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EC2336C3-8297-4367-9648-122BD921F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3F7760C3-637E-484D-8C5B-B95972823F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052294CA-5A92-46FB-952C-6FB009849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ECFEF359-1886-4664-BB16-3F4C0D28D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09D53235-5D71-446D-A393-F1379670D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5F0ADCB2-A777-4AB7-9444-99352CE280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D2E2B643-0BFB-4CEC-BAEF-D1C9EA8F5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DDFE4B11-65A6-41F0-942F-458451E41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B51BAEAC-3667-44B5-B238-C3089E393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ADECB813-CBC8-449D-8BB9-9313DCD7C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812C8960-B60A-4F6F-A41E-3F06991F6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47C08D16-D102-4E24-BEEE-0766FBEDD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10ED4197-BA7D-44BF-B73A-EEA43881F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713F8411-84AE-4775-9127-E08132C33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055DCD3C-2ECC-4279-A25E-B8B569389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B11E182D-6343-4F87-B91B-229220C88F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DF02EE8C-1943-48A4-9C9F-E1E38AC7C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3E02A8C6-B0B0-4063-836C-0340978353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FCAF1896-205F-49A9-97F5-D69B6CF66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B602B953-8786-4F9B-A299-922510E0E2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58EF5EF6-8F6A-49CC-842E-FAF06703A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E90EC320-C928-4325-B81A-7604C26B7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134C224C-1D23-4151-9D12-EC29D8199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AE102316-8C88-4950-A854-A354F70751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3B629A71-B7A3-4971-814A-9BA15BC8C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5E48FD4A-E186-4E22-A8C9-EE4D24BC1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F33F837A-B1CB-4F6A-8732-34D34F767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999232D5-140D-432A-B5AE-7290D07A4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0C4DBFFF-27C6-4DFD-A925-2E88F31F8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EBC7D90B-1D19-4285-A3D1-36B351B1D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1D991E23-2BA1-4F0D-BD34-EB81D3D2F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776B5EBE-6EEB-49C8-8A4C-C5D08F9D6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D4B50188-AD93-49F5-8698-79FF182F6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85ED3801-C13C-4C53-995B-804D221A4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A4894E9E-AA1D-4C0B-BD92-E7DBA5A53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ABC66B98-6BC9-421F-B8BB-52448BAD0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75E9A0B3-765C-4CE8-BF3E-446AC1CD4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B732D9E4-29CA-485F-932A-72ECA3117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EA4F670F-80E3-4F9B-88FA-D07F88230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7980E2F3-793B-4954-90EA-8D339BB95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54DC11EF-2C9E-4608-A929-4CABB0030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BFD3E876-9721-415C-9825-1A764ADDC2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879C4C8F-DBC7-4FEB-B7BB-B10957BA4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30ED21A2-AA6D-44D3-A167-1E69A6A5E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FD107A0B-4F93-453F-81EF-489BFBE18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1579497A-ECD1-4F75-A06D-529F092432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D970C720-AB64-4ECE-9293-4BC15E033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AD439B3A-CB15-4DCA-87C2-EC87F989E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2FEA6499-70B6-4A05-86DE-1B3F725C4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C77A1003-7B20-43CF-A24F-FE77FE57E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1D4431EB-CB3C-4D52-BAE7-CE5A37749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76DB5CB1-7A52-4A6F-836E-1C5A6B965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E993F5AB-207F-4495-A22A-608AE3410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0759149C-6510-44C2-96FA-82610A7FE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CE74E198-315A-4F00-B073-26D7C9CA0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5FB151E0-E9FD-46D8-95A0-BB8E5C8C2B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B6A72131-C8CD-4D26-B462-55F3E422D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D94FFE3F-A6AD-4478-998B-44A3F2699F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EFFD187E-2065-453E-8DC8-FE938F87A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5485681D-4E00-4B66-8152-392FCE1B55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81C79C6F-F8CD-431B-8F15-C5922570E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A3F76D39-3778-4D75-87FB-23D49B99E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DB2F3446-93ED-4F1F-8037-10193D91F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09CE1432-2CF0-4E00-87F9-123DD2501B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3D45D6C6-C029-4982-BD55-0F003E39A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667BEBF2-6903-40CC-8822-4E6B6BBF2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6D63744D-3F16-4ADB-ABB6-AC90B54E0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7AA50814-A84E-45E2-9EB4-ECA41681A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2678C5E8-EFF2-4EB1-BD98-D0FB86D7F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1C7C1E13-13D8-4B8C-91FC-82D3C8C76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4732FD99-3BE8-4B56-A6EE-58ADF9C3A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05C50999-8A6A-4D4C-84F0-997566403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9B5569A1-2F37-4494-8E01-78104DC1F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214274F5-B929-4DC5-AD7C-14A45D551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6E5618D5-A0AD-464F-BF02-6FDD0D856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48B49C0E-8D30-489F-8646-840A22289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214A9C3F-4D87-4F7C-A697-E6CB6AE37E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841721BE-BCB0-43EB-B195-5457EDD9D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6B8C16B8-7399-4B2C-ADDD-AA7B07D641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3B51ACB1-8456-4624-A126-8040808EA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65C85F44-7AF3-4338-94A7-89F1CC4F0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370D3B3A-64DD-460F-B999-C2ED65A903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DB858006-EB8F-4417-9923-6F6950C10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72EED66D-830D-4C0A-930C-701102292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7FF2788F-8F6A-4A61-B5A1-64C25199AA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BB6770F0-1624-41CC-AD6E-6B07C5078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5C9F5810-A427-45DF-92BC-E85A827CB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850F5027-400F-4309-8C78-55FE11001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E310A598-50D7-42AE-9523-1CEAE08E3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FDBE1FD5-7057-46A0-B4EA-4E46C57B2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B6A9FF77-078F-4090-8423-9E37E6FE0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56492E11-5705-48D7-A833-AD5FEF63A3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FC0D6FC9-E9F9-446B-9DED-F2C4BAFAF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E5452A55-9E71-4A46-8D29-FC6F70482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DD302BAB-9542-48DC-BE70-414612A4D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A9442780-975B-4B2D-B565-3249DDAE91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66D21E11-6710-4406-81E7-A134B5976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D6842B6E-1FB4-4311-864C-1E771512B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859E6260-9D94-4EC2-84AE-FBF977B32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78838843-A43A-488B-A8F2-FF25945F2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11A9E773-45DB-4B5E-B3C4-4B3774145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D7A18820-3C4B-4AD7-A3A7-E0D93DD8B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7D32E6A1-EAA4-4206-A488-3C8620764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77ACB861-2D58-4ECF-A8C6-9CD140024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E2F7F180-3C95-4543-9943-F755178BC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D0CA46FE-19A6-440A-9098-FA8E9932DC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654825FA-5631-475C-9332-808FC1EE6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474CCDE9-D251-49F3-B8E2-D33DA980F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347266FA-C83E-4398-B002-99BFF9E74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2046829F-348A-46B8-800C-3A2856FC47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7A831594-B95B-42FD-A7C0-884EF950A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FA3C77DB-967A-4594-867D-0BEAE7078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B990BC47-2B9D-4340-91CE-8AC7116B9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F277EFCE-90AE-4CCE-ABA4-73E781AF60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408149ED-152E-40FD-A556-94464B107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71B78D2B-F910-4B46-908A-359AA274C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05B66CAA-7AF0-473B-8C02-9F567B248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4382455F-0A4F-4BB6-B874-AE25281EE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438C5E59-3108-4C40-A1DC-1EF6F2173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CF434966-46C0-49FE-9CE0-AB8CF255D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DEAB0B32-6C67-4381-85EC-2A3CB20C3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30C76339-F474-4A1F-A017-05AE70851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BF95EA2D-49C5-42D4-97FA-4709BFDCA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516E66AB-B34D-43CA-BCC8-9C9799709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800C5A92-7899-4C40-8325-2B7338B027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42E4B282-BB62-4C67-986E-952E03ABA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A8FE3B61-2D49-4425-AD87-6FC212A96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2D832951-44FD-4D75-955B-48D55B180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A71E0F42-5E8A-4B54-BD50-5A5678B9B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151522A4-512C-4A9A-98F1-94B43B720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E1C8A48B-74C8-4151-8718-CC56FDC25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BBE23155-A76D-45BC-B426-9FA9A860AF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6FC3A7BB-5A94-442B-8EA7-AD69F1ED3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8AB0B4F6-E726-4A71-86B5-D3B6B3485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E6AC66DB-0740-433D-B807-B6787889B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DBFB567C-D377-4337-9DE9-73461EDD4B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E043FBB5-D7AE-40D2-8C37-39F767ECE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06A4E2D4-AAA1-4525-8765-AD0E725BB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75F73B54-78AC-4F14-A863-A2CF14FDA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AAA4F233-60B2-484C-B996-E169DEE23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89964B0F-B920-4328-B02E-72D85AE82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B8AA4622-46B3-423A-B5DA-FDE351BB3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DC1942A9-6A6E-401A-9220-FF45EC409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265DA489-6491-4F54-920A-961C7CE5E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5197E690-8526-4936-9745-ED28F5AA3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B0CC0E83-E869-442C-A3C4-68DD1A4438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98CC0520-B990-4771-AE30-6573BA6CA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03A05DE5-B895-4902-9403-0F2DEC854D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3225B778-070B-48E6-BBC4-389319656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527D8540-4A82-41C2-9137-8810AB738F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96B57095-60CD-44ED-87E2-BC4C0DA8A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A132CE04-EDAA-406E-BE9F-A08126E47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46D80430-ED09-42E4-80A7-BD2CE2624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E17A005D-0507-4746-BFC5-E2DCA03EE1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3C3D2D03-D1D7-4A48-989C-189F214C7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83507D9F-02D6-4008-BDB5-D272C84A0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F716EBB1-471E-4DE2-A876-15ABEF523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DCB874FA-8C6D-459A-B7B6-DBD31EF61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63CA0066-A9C2-47F3-A35B-A1432459D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022806B2-89AA-4421-A37D-F6968DA0B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8C5D9007-2039-4820-BD93-EE53B8E1C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5ACFD635-841A-497A-8F6C-023868CC8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AB130CE6-C19A-4AB1-BB91-CD94379EA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F2185C76-6190-4644-A83D-247F05E83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F3131E10-D70F-4272-AEA4-4F1963E7C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8436D537-3204-45D7-ACBC-5C6731988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2B792C9A-AEC3-4497-A55F-380BA15BFF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1DB6F10D-A30B-449D-9951-665874A3D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862B563C-D3C4-4F7E-A0E1-65AABE84F1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08988D57-6486-47D5-BF89-FA44D5D00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FBADEAEC-2A93-4468-919B-1B26DB1DE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590FE7F3-9769-41E9-A542-A107247D3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9D8F5256-64A4-40F1-927D-302DB2D5A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C26F2C13-1D96-4829-9DAB-04E15DB6F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0687C594-0B67-4ADA-8202-D8CFE585D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0D936F8E-72F6-4C04-A8B7-8179DB6F30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33C97D92-FE69-4C93-B395-157C5929E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72603D8C-35AC-42FE-939F-D2FB7D765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FC839BE8-36C6-4F4A-8AB2-0A2B64FDD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EACD15E3-6E01-4186-9730-124501316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C4E07CE6-0EED-4B77-973C-3DBAFC1AE5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3560E44C-740F-4E1F-9CAA-65332E7E2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8AE210E7-2274-4790-8577-EE593EA0F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E74DF787-5811-433A-92BE-D9971AACE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82761573-3F47-460D-890A-3CBC6D1798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50561FF3-73C2-4642-B289-2B11A4595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68F849D5-D18A-4A45-94F4-386E8C5F42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351963F2-0671-4094-ABCB-5C4AB9B15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B7935B71-1EA4-4A36-8211-89D2E4D2E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6C0312A3-57BF-4F3B-B857-39298DB422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C4C0966F-EEBB-44AD-B7C6-01FD01A2A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6A48E2E1-CC84-4E61-960C-6FDACDCE9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7C10B839-9FF9-451E-AB38-0E9B89380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18C15D19-0767-408F-AF4C-4866231B5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03E7D960-04D3-46F7-99C0-8E837C163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5CC98263-7EE8-4B2B-998B-113622C7D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5EA3C40C-717F-42FA-B87B-65E2442AA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0AF39B6A-0AFE-4E5A-ABA1-6B01CDC5BF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4C95AECC-3CF8-406E-A485-6E3729F8F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C57C8999-CB18-4298-8A56-100E983D3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0EC9C2CE-7BDE-4BB2-B495-BD58E7548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8F4F25D4-083C-4F74-BF83-1C095D244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F8F477E8-B15F-4C26-B440-28EF1C172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00351F58-8A50-4F01-860A-E7ECFD109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CD3B7F7A-A4F2-4774-A02F-B6DAA36148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D80BABF6-4A54-43C4-BC31-73D6E38D2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F79EAC55-0136-4861-B729-22915FFB0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BBC4E284-1DF0-4E6E-A737-C375DD689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E4C54CA9-5115-442F-AE5A-B0E76E116D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25C1A15A-9C25-4F3E-B810-95A0EE35F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05751DA0-3786-48EA-8C39-E3182D298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EDE164DA-B60E-4AB8-B2F1-0995470CB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B3789133-38F8-406C-82D0-24FBC47D9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14F71131-C688-490E-B5ED-DFABB6416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190BC935-7673-45DB-BA0D-7002E599A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7852E249-F9F4-42A3-A5C6-55595BB72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6494A9B0-1281-4A9A-A352-D477011C0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DF9A5D9D-2BA0-4664-97BE-EE48978E1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0DDB21A7-11C5-4CB8-AA14-985ABFE21F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BF12F72A-8F16-40B1-BE49-A5B19A2B9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19C8030A-8030-48F3-AEC8-EE5CF6E700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460B9763-4256-48BD-A491-A115D82AF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0BBE8B43-6AB0-4DE0-9162-8777EFCBE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6AD0A99F-BF74-408D-A692-CED928179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85904F1D-B40A-4884-AA18-802110BE3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8D847278-9C34-424E-9810-35ED916B2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B40CF2CC-9618-489D-AB2D-B6BC93BB85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D62326D2-E7BD-4131-A7B8-1327B9C5D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F2FBEF04-B364-4666-A413-9D3EB39CD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BAB38482-C9EC-4848-9061-8C7A7323F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3451D50C-5D32-4935-B91E-894DCE329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B003D21D-8457-4654-A047-EC772FDA2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B91AB8EB-C257-4892-949A-2F3578C00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E92A6F2E-28D4-4D01-A7E0-1DD59921E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3862B5F8-1DE9-4197-A7F3-A003B6B37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BDEFF149-9A6D-4911-A941-15323BF13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2AA7106C-12A5-44B3-A3D3-019A043C4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E83FD55D-378F-4666-862B-EAD8E5228A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2DBAC04D-2D9D-495E-BBF8-83166451E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5B677A74-DE9A-4CC8-96D1-81A8E1992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250F5AB7-739C-41AB-8E0E-3F9A5428E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164AE7C7-4A3F-4FE5-924A-A2D016BEE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C00ACA30-8568-4A07-8F20-FE16ECCAD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CF71D8DD-0D49-423A-8839-9A808B7C1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25945D64-240E-4746-AC7B-F1DEC3F7C7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54B13050-A4FE-42FC-9F1D-726AE6200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C4993C17-271C-46D2-A522-649B2C58D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A05F29C5-D5C2-4CFD-8EB0-0963F0448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7D153BBF-4007-4388-B3C7-568110DFB7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44B6E984-3CE4-4E91-B0FB-832AE60D4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F1BFEE75-7AC2-48BD-A440-6F8B4DBD6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A488B2EC-24EC-49FC-843D-D35A19837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E077099E-FE04-40B6-90DF-D11F9F112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84D8702-0B22-4E69-96F8-65C5ADD1A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5486629D-A5A7-4F03-9A40-5E9FA3E32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05B94F38-1A0A-49FC-8024-7DB974F0A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4E48D6A3-DCD4-458E-B393-A87AF7C93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45706FD4-A56D-467F-874A-CA256886A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34DC816C-FF98-433D-989C-99572C953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7BA9DD72-5683-443A-BF69-A1506C3CC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79EB7182-6B06-4397-9352-78D5476544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0741628C-634A-4F56-B415-D7AAC6793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3C12CD14-260A-462C-8B6D-96076E8050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3B0AF95C-6B49-4B18-8E13-0F291EBD6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DE94832A-AF11-4D2E-BC20-FA3DF1763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31F7AD68-B40A-46D1-90A7-8DC3B3F13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0B332B05-060C-4749-B75B-4BECE6E970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DE07F742-2AF9-46A9-BE78-BB415623B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2C4E6D52-0B40-4D46-BD06-08CED529B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E0D72A5F-4880-443D-B241-C6460CF32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36A8A908-C6C3-4F66-8610-E55CFAC34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9971E83C-77D8-4FFB-9AE4-32ABC24F8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5BFD0610-AD71-4019-AFBC-DE2DA6053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FCAE08C7-A4CC-4BF0-A6C2-3B50E639E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4344D15A-3536-47AD-A80F-2C9FEBF96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3D98970A-5260-4462-B17F-996BB215C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7511C9D6-AE2B-4254-9D03-435A14DCF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45E365C0-E024-42E4-839B-500454E7D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E7AFC1CA-DA91-40B4-884D-799BD6BB3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16B55399-6EBC-4CAA-8694-1C58ED86FE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5AB9F2EE-1794-4F1E-9AE1-0EF3446C4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7D91A508-F46E-4C92-A771-9DC9C3A891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3D64520D-844A-44C3-9234-9D8C204AB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E61BB427-C82A-45ED-B52F-380FDB151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B9D9F698-0804-48F5-86D8-806A5625C7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40CA982A-FE25-485F-BB9D-41B870AB5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A1D6F0DE-227E-4CC8-A1B0-7BCC1345D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11354574-D494-41C1-B063-F225C84909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7616646D-2DBE-4EB7-A5D9-C61044F00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3550FD20-D02C-4C8C-BBEC-882E5A2AF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90FFA977-BE25-4082-9A21-E131728EA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76821802-87CC-46F3-A0E9-9725567C2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102B70BB-6C92-4C12-A98E-5F0BD054F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07DCEB09-EE6D-4D85-BB5A-95CEE4BC6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08AC1616-4485-490F-B225-3C76C9DDE2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F722890F-A80B-4F7A-97A1-A44C77D88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5A77D068-4999-43AA-87A6-2CAF64511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98BAB057-332C-4E24-9566-656A1117A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3C94FB44-62CC-442B-BBBA-E471214551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04A89C25-7762-425D-A2A7-7BBBC405E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9415DA55-8285-45A4-A849-1E5B26E49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4CE4074D-FF2B-4638-B41E-9DFF85F06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E6E0FC8F-5FEB-44FC-B3A1-4D70B5C1E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BA879E88-4F82-41CC-93B4-23F517AB1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97202D72-D7B6-42A8-9AE0-BA1716337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2E77C502-1C37-4344-84AD-634BF5C5D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D8867C4F-9E75-4339-B869-815424B90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CF5A07C7-C744-45D8-86F3-5A18F9AAA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68A38A41-7CB6-422E-828E-EC9A514AA9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B37FF152-D511-4E8E-96A1-112063686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2470AD9B-0A16-4F66-AE66-CA0732441E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93144F1C-3852-4672-83BF-1FF15720E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C4BB2FE7-3212-4B92-8252-E1561EB0E5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F213E8C0-0134-4069-826E-74AC9066F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672756A5-3C1F-48D3-B463-FB92F3B2E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5B5D2E40-5939-43E2-B623-648ADF762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991CAA51-D080-4898-A014-4940CC8A57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46548B33-F539-44EA-A978-92B143E53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7973452F-3444-418D-96B6-5C7D79AB3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3EABEABE-C78B-43DE-B362-E5182331A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CD939A2E-23B9-4141-AABB-8B88E5F42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39E46BF5-E3C5-4C7B-82C9-B77619438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CCA65F35-D07A-4EB0-B4A8-7166BC8F3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C28A3F66-A9A3-4A24-8FC3-6F046E11E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B904AD8D-65FE-4C00-887E-EC2CBA9AC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7E3A90B4-7FEA-4443-A886-BF37C93B0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D7CB5E25-AC52-41A7-82EF-BD2D3269E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36021481-756D-473F-BB57-8848EAA1E9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B795B849-370F-4FB9-AAD3-6D704FB61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FC8E10C6-26DC-4D10-9815-AFA924020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EEC18C36-5E4B-4BC2-B26F-6B0B1976A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7CB6052F-AB32-4D12-8374-737F94CE8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08850BF4-6CD7-4A04-A8D9-168C11D60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054215EF-D94E-4ED4-9DCF-92DB89A33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C07544E8-42F4-4A0D-A01A-C848136B85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FCB94618-37F2-4703-B0A9-CA84BE804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1B662908-57DC-45B2-98F4-8864E8190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82FD7E05-66F5-432F-A7D8-88B0A9417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49440200-F27C-48E9-A8ED-0BA4B9A05F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91F5BF34-6C68-4F79-ADF6-5D292AC42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80858D1A-6F33-40B5-85C9-CBDB55F3A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0E078CA5-8FE2-4E37-B44F-1AB86D9CF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2F0E59C4-0ACD-4B20-A538-5FE4E4614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CD705549-1620-49D8-BCB8-713BEFC56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75D437AE-AB9B-45F8-BDE7-11D8D6F5D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A17C1424-FE98-4043-8F06-C7BF31B21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AC6524EA-179E-4904-81DC-4CD46FFFB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93BB7400-CD53-4CBC-A3AE-C9FE10DCC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8D03B010-351C-4937-A1B6-45B280DCBF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E1306597-92E3-420E-911B-EFDA83C4B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8265F42B-1200-4794-809E-D261B6A61B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811A4E80-3C1C-4948-8447-0E9F7EA4E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AEDE13D5-228A-46BF-849D-7DAF738BBF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4CAAD585-B35B-4CB1-BF06-DFBCBDB8E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EDF584FB-CB78-4217-9EBD-8536406BE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B4C4397F-8530-4616-B888-FB5660B56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D6DD487E-C919-4822-AE96-02C4B5200B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B1E26CE4-2E3E-4475-A634-CAFA799DB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0436D2F3-0AE2-468F-BA67-9A98AAD2B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81386298-D433-49ED-B30F-9B482FDA1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5DE3B8CB-BE6E-4C30-800C-F8B1CC4BF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FC8A6F05-A9C4-4354-94E6-EDD5655DD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71BD8F56-B047-4B83-A14A-5F1FE33BA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B081E18B-88B3-4967-B2CB-83780F3BF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3D143453-3FAA-4ECA-8F01-CD159B211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E83C566C-B456-45BC-BCD0-98E485455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7CA37244-0A69-4E90-ACF2-A0F861B51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D204454F-E25F-46DC-8C59-868CDCCD4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B943AE25-B99A-40DD-B64B-F459AE91F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62AE0484-D958-4C58-BBB8-8E2CF9E366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7EC903EC-76BB-43D5-8DA8-9D8752E06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31F062BD-5196-4CD9-92A5-10C3B0D0AB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396FB78D-03FE-4B8C-9773-494591DD4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C6D658FE-F852-47C5-B1F8-F381E6EFA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00CB0621-66B4-43DC-9322-D22028297D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A131DEA1-7918-4CC0-83A4-C8284B193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1EAC71A1-6DF7-4F02-BFD5-34456B863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DE6A9C0B-4361-4B70-9E72-4AF55E9E42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A06D2653-0839-4A8B-A890-7223A2CAD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3165C9A7-D3C4-4A52-AB58-B4955279F8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9EA02A24-2DF8-409C-AF6D-9251B311D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6A0735FC-3995-4C2A-A3AD-2B26250AF0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27F73B7B-693F-4BF0-A460-6A19D3275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EA690D94-5AD6-4DD8-AFC1-C96958540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03978FE0-30B5-454C-A1E4-5EF2D8A55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394DD2B5-A5F7-42DD-8EC8-39566203F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C0C2CAFF-87FC-4D98-9084-82F868BE6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7194B643-1BA0-46E6-AD84-6243ABFAEC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73886289-E5E3-49F7-B20E-3D4CF2BB7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4250A846-FAAE-41CE-B58F-113CE6A60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E98E6570-86A5-430A-87E3-C302622834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10CB5673-1533-4CA0-9A86-08C580DD2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66FFA0FF-4007-4E8D-B27D-FC4A2A923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809E117E-3374-458F-AB06-35714BA9C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2C2254C5-C1D3-4941-B229-BD0BB44EAE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A6E1BE67-3444-4BDF-8EC2-D03D5DB91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F62431A5-A763-4C6D-85FD-0F5F87F70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8E9E0FD4-87BC-4A28-A212-5A9B2299C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44E2E64D-55C5-48F0-A48A-69C564646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A26801A0-82FF-41A0-BEAE-0A013DEF1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7C12D824-95E2-4D57-A708-1171D0123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6617EE15-D5AD-450A-A60A-97BCAEA32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5246EE36-43F4-43C2-BAFC-DDD8D23A8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462A9C52-C9C1-4216-BA54-9DCEFFF00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67E776CB-1436-4894-A142-AACB23C7D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1A1DC3F1-3F79-416A-A34D-2614E5BD4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D918689B-5A2D-401D-B21E-1A8E56D5F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94941C39-B48B-4A9F-BFC8-75CE33AA1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1A618DAD-ED81-4201-BC16-BB2CD9220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F9E6D58D-C629-4076-8C85-5EC09C5E9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ECC549A2-5362-4289-8C26-9A0AB73AD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D6D92F25-5605-434F-807F-DDB555BED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5625D314-294C-49CA-92B1-1057E53F3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7E6CDA7E-11BD-46BE-9A92-4DA6FDAE3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38EB48AF-B636-4015-A81A-6A95DEE40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A4378D37-A810-4DC0-ACD6-49BF8293E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E690B12A-1441-4E75-856C-564F5867B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C43933D2-7C21-4143-AAA9-54A4D0DD7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AF2BA2D6-CC40-41C3-A5E9-D9BAD6FF7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9BE6B4B3-49E6-4025-9BD4-C1364B023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3B7F17A2-D224-4777-B249-CF583E88E7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9FB2000E-FF16-4202-9473-C7C422EF5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7A3363E2-E745-4BDB-9574-A8B901D7B3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C9B5EC08-82FD-4187-8644-153D85A34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658023AD-36AE-4213-A51F-38B58A6238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910C3EB2-17D4-4590-82FB-AD392F2A2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48D7910B-829B-424D-B02A-C99F13378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E4461D00-11CD-44DA-AA06-482B8538A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318D4550-85DC-4502-BEE2-97D4EC7D5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7C56D650-B43A-4178-AAF2-540BF1E50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56AD0855-49D7-4F18-B955-C7F0748DC6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D79A0FE8-0147-443C-8C4B-19C802FFE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5FE13DC8-1C8D-45B1-977F-B963516ED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9A70C5AB-10C8-4BFE-960F-E568C7ED1F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C974053D-A494-4AC4-9A56-30F338D64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64A452D9-D6EC-4DA8-B9A5-E133C9BA8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CF65EB0F-1BC7-49C2-BC46-1DF4D7AB7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891CF861-DE20-453E-94B2-4905480B3A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61745D84-DA00-4A44-B598-5FE63D158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32A0D836-4D8D-43EF-BF0D-998A38C63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0BF44E92-52FC-4C2C-A9BD-AD41A289C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F2261788-80F7-4CBC-8ED2-5636DC134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8C2FDAFD-CCC0-424E-9A5F-E76819154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D1893B17-BFCE-4820-AABB-FD0C8DB69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DE651533-6937-4175-9ED4-C450897AC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11E57A90-2225-44CA-88AA-D50A4EF0F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5288B37A-4A0D-4CC5-A458-C41F81EF7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4A8BC211-CA40-4B9E-809D-50703E22D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A65C20C8-DAFF-4C38-8DE3-B603F0254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4E9FED3E-74AA-4FC6-97BF-F856B9908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5167C357-1AC0-4ECF-AD53-85E8BE435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33B626C6-A837-45D4-B979-D4851E5EB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A3BF6FA3-9F65-4148-B39C-87A3C39AA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CA493B1A-3878-4F1F-AD2E-DD44A1E90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3B02AC60-8C30-444F-A60F-C23BE353F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DAF27909-F437-4D1A-8608-DDCA32EDC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EDB237E6-7C44-4B54-84BC-4D37A4FEE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0A5936DC-447F-485E-9D18-6CF70142A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59A8BDC8-636C-447D-9F3E-916F105C7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4F826A54-0893-4129-B85F-AE1E5EE69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10B5E13D-D816-4B20-BA6B-BD7B8A984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8432629A-7A4B-471A-A34A-182CAD001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35B55BCE-6B3A-4A9D-AFA4-963AF408B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31352ED5-166C-4285-8E3E-4F865E5A8A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67B1EF27-6270-416B-88FC-049E22CCD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4F6D21B8-AE84-4AE7-9246-FEB668DF3F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94AC37D2-9E9D-448F-B218-55DC5F0C4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4BAA8569-FAFC-4606-8982-EA9194581E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AD9236DD-085F-4FCE-B99E-AEA2EA1ED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561AE3E2-59F5-4F46-889D-4E6EC036A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58AB3588-7A63-4384-9250-21BF62C7A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4E28F304-C4A3-435A-86BA-03DF22533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78AE0978-B714-40FE-9D9F-8C9566360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C77F5DEF-A078-4F0B-B5FB-EC92547A9C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F9F97D2F-5898-456B-9001-C89938C18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2DE6B082-CE59-4EA6-BBB8-9C2D75CB5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EFB640DA-59E3-4069-81FB-32EF1F1B40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D9090743-9357-4BB7-923E-385EB7E44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63E149D0-FA6F-449A-95DC-12C5B1955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B82AB6F9-5295-4EA9-8527-6C98E0361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75CF68B1-B8B2-4881-9F75-A3AB9D0E87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D5390D3C-B147-4FCC-9350-C95DEE9BC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C4AA8CDE-65A6-4296-AE56-058B79E21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059B986A-5750-4279-9A64-CD56D6BD9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29F15C99-5211-44CC-A4C1-7BF63AEEE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7AD4FF50-7C76-4C14-B616-D44C415BD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4C7576EE-A29A-409B-80B2-3A2C8D072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811B1439-67BF-4412-A755-A1C7DFFEB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0591EBB0-4906-430E-A66A-E71CEA63C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41F38DEF-CA29-442D-B58A-6FD7DECCE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57D2BCE7-CBE4-423F-B7A7-C675A8AB1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3D679C89-D79E-4DFB-B194-BC5E00CD0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0A910138-78D2-44D4-AD25-0072D5020B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8C33F70C-D56A-4101-9115-EC2587EE0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616BD378-BF0F-4B8A-9A28-75489FB83B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EC6D34DF-5E01-4C44-AB0B-CE626A07B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C9101CAF-E57A-4719-AF59-B5C88049CB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D227F1D2-B7D2-4B1F-A3D2-0A20C474D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F9A71A06-935C-49C2-9EA5-B08E575F4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257C49AA-9127-4CCB-92ED-1B88E9CBE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35B31CC2-807D-49E3-9293-2B4D7D553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4985B7A8-52B1-44F3-851E-42DA9CD11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371CF9DC-B592-4DCA-8243-0827C7233F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EC4AB5DD-168E-4070-8CCD-67A5DC676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934E76D3-6DF7-4126-9FA8-5E2BAC00F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B8368E7E-1D6C-46FD-91E4-DB65C3DC91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44DCFB68-2A68-4F44-A8AC-4E7CEE5B7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96124045-954A-4CDC-95B0-23AD64AE9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CB3D294C-6614-4123-8741-997DE449F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E4FC37FE-6B7C-4601-B301-CF597702B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43A947EC-264B-400E-A72D-E2422F580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727B6614-37C1-42B2-BCD7-A7C2710B8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F9F2158B-8533-4AD1-B940-4E7AEA85E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8EE0B5CE-8697-4166-8509-F47D71E17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0863219A-C3F5-48AC-B683-A86011A56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1FA5E6FE-EF19-49FC-A807-B161E2D9E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24BAC7DA-AADB-4B2A-A8F0-7950A64BF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86B75E1C-63BF-43CD-82FF-3E707CFFC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61756EDB-CD39-4E72-B600-A58872AA3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F8A76BDA-5C3E-455A-BDB2-E542378E6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90E1BF25-4B3D-485D-88DE-8CA5C921C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12EFF00A-CCDB-4504-95B3-6962CC1ECA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A6C032C9-DA34-4090-929A-5845B60F5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F7F9B5E3-9AE1-4E47-B957-F81604B5F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9D322A72-0C6E-4D93-895E-F4F416261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5A719B6A-C78C-4258-9DBB-0B69F6BF0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CDEBF646-97A9-4A9A-9E76-10A62BE8D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A65ECD23-F6B7-4D9D-94FB-5B7F473FE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25FEE353-E714-4EF3-B18B-559FC2534E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24C3B946-90C5-4D75-804D-08874A35C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37F3CC2D-63B2-49BB-815C-76D17BABC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A82665B9-4855-4D85-A1BE-010BDDC4D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79C66A69-A2E1-4175-B822-CEF89B4548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E5622F68-1743-4BB4-9528-98783D565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DFEA9473-5AE3-4F70-B1C0-7DDDEAAA8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DFAAF326-6190-49FF-B338-D4E4976B1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3C40BBEC-A722-4551-8252-D1218FF04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A1F08838-D943-4326-9B21-CEEA056C2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0AE34E44-E4B9-415A-9B03-76F8FDD53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CAD4E2A2-1603-4C14-8B94-1063B1C4F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FB1F87E7-CB3C-42C8-9069-24D0BB92B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53E695FF-7896-4337-85C2-EE2B22FBD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44A3AA7D-D093-4F14-9EEF-1A7BE7FB97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1C78A5C6-D986-44F6-98B3-396D51C2C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75959BD0-AD61-4933-B33C-E1E50606D4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7CA1869A-279E-4462-A5B4-9828A83A1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29CCDA42-1C3C-487A-AC51-216B52A05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32DF9EDA-3FDA-4363-96D1-D70F16BC8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B909A711-C1B8-4C40-9BA5-5A3944784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5E445AC2-E8F3-4648-896F-CF3614886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937F0AEF-D49F-48E5-93BE-5F9F0E6D03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4702F412-4F86-4035-9C03-7B3083A95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5671A102-A968-48EA-AE64-4A4C6A224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A504ABAC-ADF0-49ED-A205-0E80F3CAA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DCB3B81F-76DC-4FB3-AC98-F9C8E9EC9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1C2DD094-FA73-4446-8679-D122D0F01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18A564DF-BC62-4D9D-84B7-A62A320F6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87C03F2B-D417-4CB3-A140-2BB963442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B19C60C5-54EC-4E56-A277-89BA1588E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C941FD5B-94D9-4BFD-B480-12D18A7E4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22CCC835-76F1-46D5-8B9F-6262FBF99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D338E5DB-8270-49F0-B22B-DDBC163689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9AD8EFA8-F186-44B6-B637-577150CC6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707CD5ED-5ECA-4509-BA7C-58BDA9FB2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1261E96D-2DC2-49B2-BE8E-82167D29B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BD19AE61-F431-4329-BCB0-783FEC87B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AD73110E-2C41-4CBD-B43C-44A08EF00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C8752089-CC3E-476F-AB42-2454E0B23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1A5D84CE-A5CE-417C-AA65-5EC103AC3C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1FCF4B90-AA02-4CFF-A2A7-1233B7A6B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AE3BDC75-CEC0-49F6-A057-E63662F38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B89A1FB3-1B3D-493E-8AD6-D9083787A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27F2DE7D-FD57-426C-8821-E8FF1D2356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DAA6E1C0-5DA6-4C88-832C-93FCBEC45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E8C94EE4-1CC9-4996-A62B-95008A19D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B9EE4827-3E5E-4D39-87E8-BE61FD8E8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72E33046-E171-4710-B85E-5BF248466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E4C833D8-0445-4370-8747-BBBC3DA3E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562CD04A-78DD-4D11-BF14-46772BDAD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20764B5E-6567-4D02-B5B7-51A072918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8FBCC4F2-F3A2-45FF-99DE-EBB43F4C4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D62A3822-B719-42A5-9F0E-A201763FB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6EDD78C9-B04B-4342-9D91-4127264312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D59C87E7-EA2C-43A1-A0A2-914C4DFB5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F73702C4-550C-48CE-8012-3F0E507B8C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78E0EFA1-4A2C-44A1-A3F5-C0581476D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E78381D0-7D54-46C3-B0EA-D84DF6BEC4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540035D9-C2CA-4916-BBD8-A5DE0CB60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F208252B-428C-4AE7-88CB-4B311C06D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5A1605CE-C5A7-442E-B97D-1BCD4503C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223F6C0B-D9D2-4E69-A42C-247CFF1BD4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21B9C8A2-F10E-4487-B10E-08AD2D9D2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7BE7E773-468C-4048-9B35-6823F51D6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7C280FD2-420C-4B4F-A074-119F28DEB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DDBC6031-2443-478A-B9C6-63E9FDDC2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CDDAEC0B-E42D-4336-9807-DA36ACF62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5201E1A7-7509-4149-850A-BD5432ABC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90A3DC42-8D21-4D96-AF46-7AFC84DD8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0A8AFBD7-6502-4BE9-B571-EB76EA8A9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0A582A4E-5604-4D69-B695-EA8D1C80B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EFD85B10-84E0-46FC-B69B-B84E9719F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7F34AFC0-A9BC-42CE-901E-2BBE20347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9DA1CBF3-5D08-4382-BFBC-A642A4ACC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0666509E-F4D2-49D6-B291-83CDCD1BDA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723EB62D-943B-4F1A-9792-91235D6F8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87363F05-5948-4584-AF15-793D08E088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11B0961D-F963-4183-9BEA-334736786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EAC30E22-2590-45EA-A632-DD2EE760A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6E0AB928-BEFE-4295-BB9E-21302C47B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3162F87A-1ACF-4FB8-B78B-ADEEE1189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02FE0CFB-73FD-45EC-9026-9A62B6BFA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46A3F9F0-4D60-46A4-A4CD-3926C262F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6A67C28D-2A89-4AD9-852D-02DA1B61E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BC0A1FFB-CB41-4B40-B033-AA4EEA940F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55A8594E-2DFF-48BF-8122-04ECB2EBF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EFC0450D-D878-432C-9BFF-0FDCA6A2E6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6F1875CA-F8B0-4C44-B46D-B8F647B88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E38D7DEA-1914-4937-9A4D-CF34ECDB1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31BCB32B-7765-4705-AFE2-1E2A9AAEF3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399BF9AF-FFC5-429C-85BA-F837A832C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62D7A223-A626-4CE9-A5FC-D0802C003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93645D9A-FEC9-4CF7-92E9-95EB8C012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B0259DA1-F6E0-4D64-B302-BE9954CE9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A2A556E5-8E4E-44A7-B610-FD7EA3A71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5C1545BB-9CFC-47B0-B588-4DB71DBED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295667CD-9A98-4B6B-841B-042C183B3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5F9E6E8D-DC85-4FCA-9BF3-F31F9A6781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52D6DB45-594C-42DE-BD33-5E58C32FD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F84412D7-FEFD-43A0-93CA-526475CF86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2D11759A-563C-409C-8449-79E95E515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DF437E6C-C655-482C-8E6E-2F9A9B708B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46FB68E2-259E-439C-9D37-32CFCDF77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4E5547DE-C7B1-46B2-8F43-794355706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8707649E-2F37-45F0-ACB2-91A73F396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59E9D85C-051D-4B15-9DBA-739BA3CBA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5A5C88A2-417E-4989-8FC4-9A001D465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6411B7A5-21A5-4E41-AFD5-226B08DE9E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6301C1D3-A7D8-457F-AA30-EA6DA3E9C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ADE8ED46-55BA-4B6D-A3B3-476DF056F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2720A446-9D72-496A-A2C1-FC0B795272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3CF4A2A3-A7A9-4BFB-AC8B-EF228AD96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05755ECE-3F3D-46E8-8105-28B602A41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6E426083-DD8E-4C8B-B004-D87ED5D4D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EAEAE48E-6BF7-4940-A244-55A7D1AA95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5B626DED-A8A6-4C6D-9081-C79CD3A8E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4A8819BF-2123-45F1-B49D-12605D11B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85DD6AF0-3C71-4004-9122-2F062CCB9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F647536B-3BCB-461A-A7C6-4B7E83FD0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9BE4FE3C-61A6-4772-8E74-260275C55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A4A8275D-07A8-4236-BCBB-00724C1FB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B70E1950-4455-400B-8467-4E0C33409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A8E80BAE-233B-414C-84C2-59214D2EE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49CC3439-06B5-4B6F-8CC9-12CF2F2A9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FA9ED438-5FD9-4BA4-914C-27D8CF294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7E02BE2F-5816-463B-BACF-9D91E01EB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B00425CB-F734-451A-98ED-734889E7A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9ED9D478-AD01-44D9-BD5E-D49BA31FB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F7CAFF90-DF45-4ED0-A6AB-F260EFBC3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485E51D9-D85D-4143-A525-F73BD0F51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A1710158-C288-4543-B8AC-9F6688046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8E3EEA1B-AC04-4DCD-95CE-2A7EE3F37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7FAB99B5-7259-496B-86B1-9A1AFDA66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29F44689-74B8-4EA4-B9E5-222138C49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F0334F9A-797A-4DCB-A20E-9AAAFDC94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C2C59D24-4582-457F-8F35-4181B5BB3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C0AADA16-3CEA-42D2-9CB6-97441CEFE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52139733-4839-4733-A33B-9E63AF559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E74AC20C-7BCC-48A1-9695-17B414712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53B2C105-B87E-40EA-BDC9-259A587B1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F1BB734D-D7D8-4982-8231-9E92AFE887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0C17F1A3-66F2-49E9-B8D1-2F11BB4F2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53C90B07-4A72-43CE-9D2D-4C5FEEF12E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D3E105FB-F0C0-41C5-8763-ACBD9B380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E592DE90-0A59-40A4-8F34-2B73CA9A34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62A8D228-AEE3-43FB-9D1A-CA536FE1F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A239DDA9-0636-488E-AE7D-5F72C39A2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411ED332-9A56-42AF-8995-ABBE45C44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03752A6B-C181-42D2-BCC1-745496BFE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4E597C0F-630F-47BF-AB12-856248E87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40DD7D7A-06D1-4208-A2E3-3732B60485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F2FDE4C1-AD1B-437E-A257-71408F104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D0506CBF-2535-44DF-A938-296CC94DB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1CD47F8A-8E42-4D68-B72D-DBF71A6376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AAD6392E-CAC6-4FC4-9F30-A7A3A7973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C20265A5-84AC-4E0C-ADC2-868ED23F9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1554B430-16EE-4E14-BC27-EBA88F0DF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1446E934-D6F6-451B-B15B-F0656D8E14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AF815725-4B6B-464F-8981-76EEB392C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FAFAD703-757C-4775-9B7A-5224ECA8E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B91934FD-E6EA-42F0-A925-76B75685F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5F46FBDA-F295-4D55-9AB2-971FDCD9E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CBEEDD7A-960F-4A07-8A72-9F68A957C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FDB1EB08-5242-481A-AE25-409DC7158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DF70A794-2ABD-440E-8FD8-19C94A07B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DF0579AC-8744-4236-82EA-4B2047792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2AAA2772-4B04-4E4C-870F-A50078C06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CA78AFD4-75E9-469C-AD65-ADAB88AF0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645F9E94-EC79-49FD-B05D-E46FEA17F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40A0BF57-1076-406F-AD8C-F9B6C4A63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0500DF0F-A6AD-4D47-94D9-B19D9EC9D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8D19E425-3B56-423B-B77D-6252158C3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8175537F-B53E-4C3F-AD49-7ABE4F523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8AE386CF-AB33-45CD-A9B0-FB9526364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66BCDA59-0199-4973-B435-109713140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FBEB2B13-0EB8-42F1-8978-1D7B739BB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C2325801-276D-4391-98DF-3D9016253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7494459E-F91D-407E-9AFB-ED7ECEDE1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568CFF8D-5046-4D1F-AA9C-58AB387A3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C94D0E07-ACC1-4909-AE0B-A0D2FB637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9B3127D5-1103-433A-9D90-2A2A090E5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C209331F-6E77-4E5E-9A95-6DB12FDF1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E6BFA250-485E-4089-8EDB-C69DE582C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E7906C40-BCA3-4DB5-B986-F36ABBB5F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859A0EFD-4930-4F6B-92EB-226C530A1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779D5200-65C5-4CD3-8291-6F067C3A2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E62128AD-12D0-4624-9997-0ADA15279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C4F89563-A939-4263-B368-9F9E4F32F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574FA618-6ECA-4343-AF06-3C378BDE2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D176BA3D-527F-4263-A742-E5CE187043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272EF8D6-2FB9-4545-975B-C1B14C026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C1298744-1829-4A87-8881-9EE941FFF3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D4079320-5B6B-4F30-8E91-3032185A6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5C2DA410-9CC2-464E-9DDA-1AF552DDA8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9AC59C57-2CF6-429B-ADEF-D71B3649A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DE6046AD-552E-4C2C-87F7-5756CF5C3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F70CFC75-E7D1-4D9D-9357-FAEA1536C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112EF3D1-A195-4383-B3A2-64553AE58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DC40E4A0-44D3-4784-A734-BBC6C4B0D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40856011-5B69-4C33-8D62-DF28F6C62D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D3C73096-6B45-4AE3-B066-23920A415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3F976065-D318-4B87-9E46-BB3628EF8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AE82E315-FA26-4153-9A51-00844F35E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A405D2C3-E987-4804-B389-A4F76E6F1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4C5A94F7-191A-4671-BD47-EBF650D0F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E83F0B79-2750-4545-9704-DBF6B5B21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6594D660-FEB9-4355-99B9-C54831E987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0B3B79EF-CBFC-4CA7-9268-B7A9465A8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768EA503-0E66-482A-91B7-D99CF859A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BB1F469D-C545-435B-BCF3-768D16F1E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E613AF94-4B8A-48FF-8282-187E89FD4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3C8CD36E-80E2-4A28-BF8C-A4D3875F5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EC64236E-48E6-4661-ABA5-2EF392168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78D39E20-AF39-4484-ACFA-31EA14476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DB24437D-55CE-4506-B807-A4139148F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29A117AC-F83A-47CA-BB3A-09B394B2D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1E9BB8E9-2986-403A-B467-CF764D99B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6261C13A-B439-44F1-B227-9FCEAB394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CF63A79E-23CB-4359-BF00-BDC63779C2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33C10771-CB6D-42A3-87F9-9580995A9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9655F627-8DB8-4386-A588-C8F0E13E0C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AF243AD7-2724-4383-9638-CE1920537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7FF615EB-5989-40C4-856F-2DBFFE5912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7BF2679D-BAFF-4043-BB99-674CC85BD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A01A4B25-0EB3-41E6-A634-6836B4369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AC704EA9-DDDD-4214-96D6-CE7A793DE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AC7F5618-A200-44BA-BB49-8FB69E7D0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3BBE0A86-E245-41DE-B152-5B4E753D6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8C82CCB4-C148-4246-86C9-EF389F1DB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E586F60C-EABA-4ADB-BBF3-3F9A60ADF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23123497-E20E-47DA-9E31-3540E6E6C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9CEC6C30-5813-4154-8980-EBED213DDF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F77E8812-1BDB-489F-8640-574B6A009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CDA2523E-5FD9-4609-8616-442A8199E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343E9F0C-3065-4713-BB8E-DF5F4C6C6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2847B941-1A6F-4A37-BCC1-B6D693966F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3819AEB3-F367-45E2-9A4E-889D860D2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B41F3B7D-701B-48CF-9593-7D4C7D256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BF5B8620-5403-49D3-AFEA-8C8D22D2B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C7204FBE-5E3D-47AA-BEC9-547EE891F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55CA876A-B29B-4C88-BB23-04EABD896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2C0682F0-D6B7-4FD8-A344-B638D267C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11433F5A-9D09-4A69-83FF-46660CEFF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22F07BB2-44C5-4818-96D3-790775A26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BBBBB8FB-91CD-41FA-A622-73E0A9E54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012B2F8A-6093-4CFD-9AFB-5410BFF99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509E481D-8D06-482F-B217-2204CBFAD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07ECC58B-BAEE-4F50-BAA2-BBB2FB770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8A8522D8-C6C1-4A60-996F-58932727F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08B09335-3ADB-43AE-BEEC-C2E33AC92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72C451C5-83FC-4F0E-9EC1-72A1B2C48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5AAEA5E4-CE22-4BB6-B4DE-6F6F1E364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B8C061B3-547C-4A6B-BD8F-48B5BAD90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39738CC0-12A2-48CE-92DB-FF3DD321D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CC4882E1-10D5-4969-AC6F-DD3103E1A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FE6EE07E-5350-4410-B844-B02239FE56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68A06E59-2E55-4A6D-9FD3-95C7C3236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051F49CC-E055-4EB5-85FB-ADD82E8A6A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3766EB7C-7492-4D5B-B863-DF82B80B0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7700C555-6844-4FAF-ADDA-3D42B3EB9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16260409-71B0-4406-B6CA-D3D59E409A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3C48E9AC-4A9B-46DB-A370-694DCCD88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BD9494BD-AF17-42C0-8E10-0F24D172B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ECD98F68-C43A-4CFC-A4EA-ED1526A86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A7E377EC-7B98-429F-AF83-0E756D02A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FA99CE3B-6241-4ACA-B5BE-3873BF3BA3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9AE25B3C-D19B-49E9-A71D-ACCD4DFBD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894C805C-DF6F-4F81-A7AC-9F7CDC6D26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D2AF67AD-0F5C-417C-8ADA-D7F3C96C7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5D7C0931-2171-4D90-9378-8966BA4FE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443984B5-1C22-4338-BFF6-6491CD0BD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7F45861C-799A-4A56-AC18-FBC924C96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31B4B88A-6F81-4A58-837D-C387FD2AE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AEF6E9-F692-486E-AB75-986181CA07E7}">
  <we:reference id="wa200006068" version="1.0.4.2" store="en-GB" storeType="OMEX"/>
  <we:alternateReferences>
    <we:reference id="wa200006068" version="1.0.4.2" store="en-GB" storeType="OMEX"/>
  </we:alternateReferences>
  <we:properties>
    <we:property name="Office.AutoShowTaskpaneWithDocument" value="true"/>
    <we:property name="workbook-id" value="&quot;8fd03efb-bb21-48f0-9fbe-e7965b6492b4&quot;"/>
    <we:property name="workbook-title" value="&quot;17.07-23.07..xls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_xldudf_ROSIE_LLM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B20" sqref="B20"/>
    </sheetView>
  </sheetViews>
  <sheetFormatPr defaultRowHeight="14.5"/>
  <cols>
    <col min="2" max="2" width="51.6328125" bestFit="1" customWidth="1"/>
    <col min="3" max="3" width="13.90625" bestFit="1" customWidth="1"/>
    <col min="11" max="11" width="11.6328125" bestFit="1" customWidth="1"/>
  </cols>
  <sheetData>
    <row r="1" spans="1:11">
      <c r="A1" s="1">
        <v>2</v>
      </c>
      <c r="B1" s="1" t="s">
        <v>0</v>
      </c>
      <c r="C1" s="2">
        <v>5908234806670</v>
      </c>
      <c r="D1" s="3">
        <v>1.86</v>
      </c>
      <c r="E1" s="4">
        <v>0.08</v>
      </c>
      <c r="F1" s="4">
        <v>0.16</v>
      </c>
      <c r="G1" s="3">
        <f t="shared" ref="G1:G7" si="0">D1*(1-F1)</f>
        <v>1.5624</v>
      </c>
      <c r="H1" s="4">
        <v>0.15</v>
      </c>
      <c r="I1" s="4">
        <v>0.21</v>
      </c>
      <c r="J1" s="11">
        <f t="shared" ref="J1:J7" si="1">_xlfn.LET(_xlpm.p,G1*(1+H1)*(1+I1),_xlpm.cents,ROUND(_xlpm.p*100,0),_xlpm.newcents,IF(MOD(_xlpm.cents,10)&lt;=5,INT(_xlpm.cents/10)*10+5,INT(_xlpm.cents/10)*10+9),_xlpm.newcents/100)</f>
        <v>2.19</v>
      </c>
      <c r="K1" s="1" t="s">
        <v>13</v>
      </c>
    </row>
    <row r="2" spans="1:11">
      <c r="A2" s="1">
        <v>3</v>
      </c>
      <c r="B2" s="1" t="s">
        <v>1</v>
      </c>
      <c r="C2" s="2">
        <v>5908234806694</v>
      </c>
      <c r="D2" s="3">
        <v>1.86</v>
      </c>
      <c r="E2" s="4">
        <v>0.08</v>
      </c>
      <c r="F2" s="4">
        <v>0.16</v>
      </c>
      <c r="G2" s="3">
        <f t="shared" si="0"/>
        <v>1.5624</v>
      </c>
      <c r="H2" s="4">
        <v>0.15</v>
      </c>
      <c r="I2" s="4">
        <v>0.21</v>
      </c>
      <c r="J2" s="11">
        <f t="shared" si="1"/>
        <v>2.19</v>
      </c>
      <c r="K2" s="1" t="s">
        <v>13</v>
      </c>
    </row>
    <row r="3" spans="1:11">
      <c r="A3" s="1">
        <v>4</v>
      </c>
      <c r="B3" s="1" t="s">
        <v>2</v>
      </c>
      <c r="C3" s="2">
        <v>5908234806878</v>
      </c>
      <c r="D3" s="3">
        <v>1.86</v>
      </c>
      <c r="E3" s="4">
        <v>0.08</v>
      </c>
      <c r="F3" s="4">
        <v>0.16</v>
      </c>
      <c r="G3" s="3">
        <f t="shared" si="0"/>
        <v>1.5624</v>
      </c>
      <c r="H3" s="4">
        <v>0.15</v>
      </c>
      <c r="I3" s="4">
        <v>0.21</v>
      </c>
      <c r="J3" s="11">
        <f t="shared" si="1"/>
        <v>2.19</v>
      </c>
      <c r="K3" s="1" t="s">
        <v>13</v>
      </c>
    </row>
    <row r="4" spans="1:11">
      <c r="A4" s="1">
        <v>5</v>
      </c>
      <c r="B4" s="1" t="s">
        <v>3</v>
      </c>
      <c r="C4" s="2">
        <v>5908234806892</v>
      </c>
      <c r="D4" s="3">
        <v>1.86</v>
      </c>
      <c r="E4" s="4">
        <v>0.08</v>
      </c>
      <c r="F4" s="4">
        <v>0.16</v>
      </c>
      <c r="G4" s="3">
        <f t="shared" si="0"/>
        <v>1.5624</v>
      </c>
      <c r="H4" s="4">
        <v>0.15</v>
      </c>
      <c r="I4" s="4">
        <v>0.21</v>
      </c>
      <c r="J4" s="11">
        <f t="shared" si="1"/>
        <v>2.19</v>
      </c>
      <c r="K4" s="1" t="s">
        <v>13</v>
      </c>
    </row>
    <row r="5" spans="1:11">
      <c r="A5" s="1">
        <v>1</v>
      </c>
      <c r="B5" s="1" t="s">
        <v>4</v>
      </c>
      <c r="C5" s="2" t="s">
        <v>5</v>
      </c>
      <c r="D5" s="3">
        <v>1.79</v>
      </c>
      <c r="E5" s="4">
        <v>0.08</v>
      </c>
      <c r="F5" s="4">
        <v>0.13</v>
      </c>
      <c r="G5" s="3">
        <f t="shared" si="0"/>
        <v>1.5573000000000001</v>
      </c>
      <c r="H5" s="4">
        <v>0.15</v>
      </c>
      <c r="I5" s="4">
        <v>0.21</v>
      </c>
      <c r="J5" s="8">
        <f t="shared" si="1"/>
        <v>2.19</v>
      </c>
      <c r="K5" s="1" t="s">
        <v>13</v>
      </c>
    </row>
    <row r="6" spans="1:11">
      <c r="A6" s="1">
        <v>2</v>
      </c>
      <c r="B6" s="1" t="s">
        <v>6</v>
      </c>
      <c r="C6" s="2">
        <v>8000380005918</v>
      </c>
      <c r="D6" s="3">
        <v>1.79</v>
      </c>
      <c r="E6" s="4">
        <v>0.08</v>
      </c>
      <c r="F6" s="4">
        <v>0.13</v>
      </c>
      <c r="G6" s="3">
        <f t="shared" si="0"/>
        <v>1.5573000000000001</v>
      </c>
      <c r="H6" s="4">
        <v>0.15</v>
      </c>
      <c r="I6" s="4">
        <v>0.21</v>
      </c>
      <c r="J6" s="8">
        <f t="shared" si="1"/>
        <v>2.19</v>
      </c>
      <c r="K6" s="1" t="s">
        <v>13</v>
      </c>
    </row>
    <row r="7" spans="1:11">
      <c r="A7" s="1">
        <v>3</v>
      </c>
      <c r="B7" s="1" t="s">
        <v>7</v>
      </c>
      <c r="C7" s="2" t="s">
        <v>8</v>
      </c>
      <c r="D7" s="3">
        <v>1.79</v>
      </c>
      <c r="E7" s="4">
        <v>0.08</v>
      </c>
      <c r="F7" s="4">
        <v>0.13</v>
      </c>
      <c r="G7" s="3">
        <f t="shared" si="0"/>
        <v>1.5573000000000001</v>
      </c>
      <c r="H7" s="4">
        <v>0.15</v>
      </c>
      <c r="I7" s="4">
        <v>0.21</v>
      </c>
      <c r="J7" s="8">
        <f t="shared" si="1"/>
        <v>2.19</v>
      </c>
      <c r="K7" s="1" t="s">
        <v>13</v>
      </c>
    </row>
    <row r="8" spans="1:11">
      <c r="A8" s="1"/>
      <c r="B8" s="1"/>
      <c r="C8" s="2"/>
      <c r="D8" s="3"/>
      <c r="E8" s="6"/>
      <c r="F8" s="4"/>
      <c r="G8" s="3"/>
      <c r="H8" s="4"/>
      <c r="I8" s="4"/>
      <c r="J8" s="8"/>
      <c r="K8" s="1"/>
    </row>
    <row r="9" spans="1:11">
      <c r="A9" s="1">
        <v>7</v>
      </c>
      <c r="B9" s="1" t="s">
        <v>14</v>
      </c>
      <c r="C9" s="2">
        <v>5319991511347</v>
      </c>
      <c r="D9" s="3">
        <v>1.31</v>
      </c>
      <c r="E9" s="6"/>
      <c r="F9" s="4">
        <v>0.1</v>
      </c>
      <c r="G9" s="3">
        <f>IF(D9="", "", D9*(1-F9))</f>
        <v>1.179</v>
      </c>
      <c r="H9" s="4">
        <v>0.15</v>
      </c>
      <c r="I9" s="4">
        <v>0.21</v>
      </c>
      <c r="J9" s="8">
        <f>IF(D9="","",ROUND(IF(RIGHT(TEXT(CEILING(D9*(1-F9)*(1+H9)*(1+I9),0.05),"0.00"),1)="0",CEILING(D9*(1-F9)*(1+H9)*(1+I9),0.05)-0.01,CEILING(D9*(1-F9)*(1+H9)*(1+I9),0.05)),2))</f>
        <v>1.65</v>
      </c>
      <c r="K9" s="1" t="s">
        <v>15</v>
      </c>
    </row>
    <row r="10" spans="1:11">
      <c r="A10" s="1">
        <v>8</v>
      </c>
      <c r="B10" s="7" t="s">
        <v>18</v>
      </c>
      <c r="C10" s="12">
        <v>8606103485335</v>
      </c>
      <c r="D10" s="13">
        <v>2.08</v>
      </c>
      <c r="E10" s="4">
        <v>0.08</v>
      </c>
      <c r="F10" s="4">
        <v>0.1</v>
      </c>
      <c r="G10" s="3">
        <v>1.72</v>
      </c>
      <c r="H10" s="4">
        <v>0.15</v>
      </c>
      <c r="I10" s="4">
        <v>0.21</v>
      </c>
      <c r="J10" s="5">
        <v>2.39</v>
      </c>
      <c r="K10" s="1" t="s">
        <v>15</v>
      </c>
    </row>
    <row r="11" spans="1:11">
      <c r="A11" s="1">
        <v>9</v>
      </c>
      <c r="B11" s="7" t="s">
        <v>16</v>
      </c>
      <c r="C11" s="12" t="s">
        <v>17</v>
      </c>
      <c r="D11" s="3">
        <v>1.58</v>
      </c>
      <c r="E11" s="4">
        <v>0.08</v>
      </c>
      <c r="F11" s="4">
        <v>0.12</v>
      </c>
      <c r="G11" s="3">
        <f>IF(D11="", "", D11*(1-F11))</f>
        <v>1.3904000000000001</v>
      </c>
      <c r="H11" s="4">
        <v>0.15</v>
      </c>
      <c r="I11" s="4">
        <v>0.21</v>
      </c>
      <c r="J11" s="8">
        <f>IF(D11="","",ROUND(IF(RIGHT(TEXT(CEILING(D11*(1-F11)*(1+H11)*(1+I11),0.05),"0.00"),1)="0",CEILING(D11*(1-F11)*(1+H11)*(1+I11),0.05)-0.01,CEILING(D11*(1-F11)*(1+H11)*(1+I11),0.05)),2))</f>
        <v>1.95</v>
      </c>
      <c r="K11" s="1" t="s">
        <v>15</v>
      </c>
    </row>
    <row r="12" spans="1:11">
      <c r="G12" s="10">
        <f t="shared" ref="G12:G17" si="2">D12*(1-F12)</f>
        <v>0</v>
      </c>
      <c r="J12" s="10"/>
    </row>
    <row r="13" spans="1:11">
      <c r="A13" s="1">
        <v>10</v>
      </c>
      <c r="B13" s="1" t="s">
        <v>9</v>
      </c>
      <c r="C13" s="2">
        <v>3858891292052</v>
      </c>
      <c r="D13" s="3">
        <v>0.54</v>
      </c>
      <c r="E13" s="4">
        <v>0.08</v>
      </c>
      <c r="F13" s="4">
        <v>0.1</v>
      </c>
      <c r="G13" s="3">
        <f t="shared" si="2"/>
        <v>0.48600000000000004</v>
      </c>
      <c r="H13" s="4">
        <v>0.2</v>
      </c>
      <c r="I13" s="4">
        <v>0.21</v>
      </c>
      <c r="J13" s="8">
        <f>_xlfn.LET(_xlpm.p,G13*(1+H13)*(1+I13),_xlpm.cents,ROUND(_xlpm.p*100,0),_xlpm.newcents,IF(MOD(_xlpm.cents,10)&lt;=5,INT(_xlpm.cents/10)*10+5,INT(_xlpm.cents/10)*10+9),_xlpm.newcents/100)</f>
        <v>0.75</v>
      </c>
      <c r="K13" s="1" t="s">
        <v>13</v>
      </c>
    </row>
    <row r="14" spans="1:11">
      <c r="A14" s="1">
        <v>11</v>
      </c>
      <c r="B14" s="1" t="s">
        <v>10</v>
      </c>
      <c r="C14" s="2">
        <v>3858891292045</v>
      </c>
      <c r="D14" s="3">
        <v>0.54</v>
      </c>
      <c r="E14" s="4">
        <v>0.08</v>
      </c>
      <c r="F14" s="4">
        <v>0.1</v>
      </c>
      <c r="G14" s="3">
        <f t="shared" si="2"/>
        <v>0.48600000000000004</v>
      </c>
      <c r="H14" s="4">
        <v>0.2</v>
      </c>
      <c r="I14" s="4">
        <v>0.21</v>
      </c>
      <c r="J14" s="8">
        <f>_xlfn.LET(_xlpm.p,G14*(1+H14)*(1+I14),_xlpm.cents,ROUND(_xlpm.p*100,0),_xlpm.newcents,IF(MOD(_xlpm.cents,10)&lt;=5,INT(_xlpm.cents/10)*10+5,INT(_xlpm.cents/10)*10+9),_xlpm.newcents/100)</f>
        <v>0.75</v>
      </c>
      <c r="K14" s="1" t="s">
        <v>13</v>
      </c>
    </row>
    <row r="15" spans="1:11">
      <c r="A15" s="1">
        <v>12</v>
      </c>
      <c r="B15" s="1" t="s">
        <v>11</v>
      </c>
      <c r="C15" s="2">
        <v>3858891292007</v>
      </c>
      <c r="D15" s="3">
        <v>0.54</v>
      </c>
      <c r="E15" s="4">
        <v>0.08</v>
      </c>
      <c r="F15" s="4">
        <v>0.1</v>
      </c>
      <c r="G15" s="3">
        <f t="shared" si="2"/>
        <v>0.48600000000000004</v>
      </c>
      <c r="H15" s="4">
        <v>0.2</v>
      </c>
      <c r="I15" s="4">
        <v>0.21</v>
      </c>
      <c r="J15" s="8">
        <f>_xlfn.LET(_xlpm.p,G15*(1+H15)*(1+I15),_xlpm.cents,ROUND(_xlpm.p*100,0),_xlpm.newcents,IF(MOD(_xlpm.cents,10)&lt;=5,INT(_xlpm.cents/10)*10+5,INT(_xlpm.cents/10)*10+9),_xlpm.newcents/100)</f>
        <v>0.75</v>
      </c>
      <c r="K15" s="1" t="s">
        <v>13</v>
      </c>
    </row>
    <row r="16" spans="1:11">
      <c r="A16" s="9">
        <v>13</v>
      </c>
      <c r="B16" s="1" t="s">
        <v>12</v>
      </c>
      <c r="C16" s="2">
        <v>3858891292069</v>
      </c>
      <c r="D16" s="3">
        <v>0.54</v>
      </c>
      <c r="E16" s="4">
        <v>0.08</v>
      </c>
      <c r="F16" s="4">
        <v>0.1</v>
      </c>
      <c r="G16" s="3">
        <f t="shared" si="2"/>
        <v>0.48600000000000004</v>
      </c>
      <c r="H16" s="4">
        <v>0.2</v>
      </c>
      <c r="I16" s="4">
        <v>0.21</v>
      </c>
      <c r="J16" s="8">
        <f>_xlfn.LET(_xlpm.p,G16*(1+H16)*(1+I16),_xlpm.cents,ROUND(_xlpm.p*100,0),_xlpm.newcents,IF(MOD(_xlpm.cents,10)&lt;=5,INT(_xlpm.cents/10)*10+5,INT(_xlpm.cents/10)*10+9),_xlpm.newcents/100)</f>
        <v>0.75</v>
      </c>
      <c r="K16" s="1" t="s">
        <v>13</v>
      </c>
    </row>
    <row r="17" spans="7:10">
      <c r="G17" s="10">
        <f t="shared" si="2"/>
        <v>0</v>
      </c>
      <c r="J17" s="10"/>
    </row>
  </sheetData>
  <dataValidations count="1">
    <dataValidation type="textLength" operator="lessThan" allowBlank="1" showInputMessage="1" showErrorMessage="1" sqref="B10:B11" xr:uid="{5122750B-0454-4175-B919-22B602F9967C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2025-06-17T11:44:14Z</dcterms:modified>
</cp:coreProperties>
</file>